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rubendupont/Desktop/"/>
    </mc:Choice>
  </mc:AlternateContent>
  <xr:revisionPtr revIDLastSave="0" documentId="8_{9D018844-608E-B243-9363-A7788CB63CBD}" xr6:coauthVersionLast="47" xr6:coauthVersionMax="47" xr10:uidLastSave="{00000000-0000-0000-0000-000000000000}"/>
  <bookViews>
    <workbookView xWindow="0" yWindow="660" windowWidth="28600" windowHeight="15320" tabRatio="500" xr2:uid="{00000000-000D-0000-FFFF-FFFF00000000}"/>
  </bookViews>
  <sheets>
    <sheet name="DCF — Integrated Financials" sheetId="1" r:id="rId1"/>
    <sheet name="WACC" sheetId="2" r:id="rId2"/>
    <sheet name="Equity Bridge" sheetId="3" r:id="rId3"/>
    <sheet name="Sensitivity 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H5" i="1"/>
  <c r="C8" i="1"/>
  <c r="L41" i="1"/>
  <c r="K41" i="1"/>
  <c r="J41" i="1"/>
  <c r="E11" i="1" s="1"/>
  <c r="L38" i="1"/>
  <c r="K38" i="1"/>
  <c r="J38" i="1"/>
  <c r="L35" i="1"/>
  <c r="F10" i="1" s="1"/>
  <c r="K35" i="1"/>
  <c r="J35" i="1"/>
  <c r="M33" i="1"/>
  <c r="J29" i="1"/>
  <c r="K26" i="1"/>
  <c r="J26" i="1"/>
  <c r="N25" i="1"/>
  <c r="M25" i="1"/>
  <c r="L24" i="1"/>
  <c r="L26" i="1" s="1"/>
  <c r="L23" i="1"/>
  <c r="K23" i="1"/>
  <c r="J23" i="1"/>
  <c r="I23" i="1"/>
  <c r="H23" i="1"/>
  <c r="G23" i="1"/>
  <c r="F23" i="1"/>
  <c r="E23" i="1"/>
  <c r="F21" i="1"/>
  <c r="I20" i="1"/>
  <c r="I21" i="1" s="1"/>
  <c r="H20" i="1"/>
  <c r="H21" i="1" s="1"/>
  <c r="G20" i="1"/>
  <c r="G21" i="1" s="1"/>
  <c r="F20" i="1"/>
  <c r="I18" i="1"/>
  <c r="H18" i="1"/>
  <c r="L17" i="1"/>
  <c r="L20" i="1" s="1"/>
  <c r="K17" i="1"/>
  <c r="K20" i="1" s="1"/>
  <c r="J17" i="1"/>
  <c r="J18" i="1" s="1"/>
  <c r="I17" i="1"/>
  <c r="H17" i="1"/>
  <c r="G17" i="1"/>
  <c r="G18" i="1" s="1"/>
  <c r="F17" i="1"/>
  <c r="F18" i="1" s="1"/>
  <c r="E17" i="1"/>
  <c r="E20" i="1" s="1"/>
  <c r="E21" i="1" s="1"/>
  <c r="V15" i="1"/>
  <c r="U15" i="1"/>
  <c r="T15" i="1"/>
  <c r="N15" i="1"/>
  <c r="M15" i="1"/>
  <c r="M14" i="1" s="1"/>
  <c r="L15" i="1"/>
  <c r="K15" i="1"/>
  <c r="J15" i="1"/>
  <c r="I15" i="1"/>
  <c r="H15" i="1"/>
  <c r="G15" i="1"/>
  <c r="F15" i="1"/>
  <c r="G14" i="1"/>
  <c r="C10" i="1"/>
  <c r="S15" i="1" s="1"/>
  <c r="F9" i="1"/>
  <c r="T30" i="1" s="1"/>
  <c r="O5" i="1"/>
  <c r="S35" i="1" l="1"/>
  <c r="R35" i="1"/>
  <c r="Q35" i="1"/>
  <c r="P35" i="1"/>
  <c r="O35" i="1"/>
  <c r="V35" i="1"/>
  <c r="N35" i="1"/>
  <c r="U35" i="1"/>
  <c r="M35" i="1"/>
  <c r="M34" i="1" s="1"/>
  <c r="T35" i="1"/>
  <c r="N14" i="1"/>
  <c r="M37" i="1"/>
  <c r="N33" i="1" s="1"/>
  <c r="M23" i="1"/>
  <c r="L27" i="1"/>
  <c r="L30" i="1" s="1"/>
  <c r="L21" i="1"/>
  <c r="F8" i="1"/>
  <c r="O41" i="1"/>
  <c r="V41" i="1"/>
  <c r="N41" i="1"/>
  <c r="U41" i="1"/>
  <c r="M41" i="1"/>
  <c r="M40" i="1" s="1"/>
  <c r="T41" i="1"/>
  <c r="S41" i="1"/>
  <c r="R41" i="1"/>
  <c r="Q41" i="1"/>
  <c r="P41" i="1"/>
  <c r="K27" i="1"/>
  <c r="K30" i="1" s="1"/>
  <c r="K21" i="1"/>
  <c r="N30" i="1"/>
  <c r="V30" i="1"/>
  <c r="P15" i="1"/>
  <c r="L18" i="1"/>
  <c r="J20" i="1"/>
  <c r="O30" i="1"/>
  <c r="K18" i="1"/>
  <c r="E18" i="1"/>
  <c r="P30" i="1"/>
  <c r="Q30" i="1"/>
  <c r="O25" i="1"/>
  <c r="M30" i="1"/>
  <c r="U30" i="1"/>
  <c r="K5" i="1"/>
  <c r="O15" i="1"/>
  <c r="Q15" i="1"/>
  <c r="R15" i="1"/>
  <c r="R30" i="1"/>
  <c r="S30" i="1"/>
  <c r="M18" i="1" l="1"/>
  <c r="C11" i="1"/>
  <c r="Q26" i="1"/>
  <c r="P26" i="1"/>
  <c r="O26" i="1"/>
  <c r="O24" i="1" s="1"/>
  <c r="R26" i="1"/>
  <c r="V26" i="1"/>
  <c r="N26" i="1"/>
  <c r="N24" i="1" s="1"/>
  <c r="U26" i="1"/>
  <c r="M26" i="1"/>
  <c r="M24" i="1" s="1"/>
  <c r="T26" i="1"/>
  <c r="S26" i="1"/>
  <c r="H9" i="1"/>
  <c r="J27" i="1"/>
  <c r="J30" i="1" s="1"/>
  <c r="H8" i="1" s="1"/>
  <c r="J21" i="1"/>
  <c r="N37" i="1"/>
  <c r="O33" i="1" s="1"/>
  <c r="O14" i="1"/>
  <c r="O34" i="1" s="1"/>
  <c r="N23" i="1"/>
  <c r="N40" i="1"/>
  <c r="P25" i="1"/>
  <c r="N34" i="1"/>
  <c r="P24" i="1" l="1"/>
  <c r="Q25" i="1"/>
  <c r="O37" i="1"/>
  <c r="P33" i="1" s="1"/>
  <c r="O23" i="1"/>
  <c r="P14" i="1"/>
  <c r="O40" i="1"/>
  <c r="N18" i="1"/>
  <c r="M17" i="1"/>
  <c r="M20" i="1" s="1"/>
  <c r="P37" i="1" l="1"/>
  <c r="Q33" i="1" s="1"/>
  <c r="P23" i="1"/>
  <c r="P40" i="1"/>
  <c r="Q14" i="1"/>
  <c r="P34" i="1"/>
  <c r="M44" i="1"/>
  <c r="M45" i="1" s="1"/>
  <c r="M21" i="1"/>
  <c r="M27" i="1"/>
  <c r="M29" i="1" s="1"/>
  <c r="Q24" i="1"/>
  <c r="R25" i="1"/>
  <c r="O18" i="1"/>
  <c r="N17" i="1"/>
  <c r="N20" i="1" s="1"/>
  <c r="Q37" i="1" l="1"/>
  <c r="R33" i="1" s="1"/>
  <c r="Q23" i="1"/>
  <c r="R14" i="1"/>
  <c r="Q40" i="1"/>
  <c r="Q34" i="1"/>
  <c r="N21" i="1"/>
  <c r="N27" i="1"/>
  <c r="N29" i="1" s="1"/>
  <c r="N44" i="1"/>
  <c r="N45" i="1" s="1"/>
  <c r="P18" i="1"/>
  <c r="O17" i="1"/>
  <c r="O20" i="1" s="1"/>
  <c r="R24" i="1"/>
  <c r="S25" i="1"/>
  <c r="T25" i="1" l="1"/>
  <c r="S24" i="1"/>
  <c r="O21" i="1"/>
  <c r="O27" i="1"/>
  <c r="O29" i="1" s="1"/>
  <c r="O44" i="1"/>
  <c r="O45" i="1" s="1"/>
  <c r="R23" i="1"/>
  <c r="R40" i="1"/>
  <c r="S14" i="1"/>
  <c r="R37" i="1"/>
  <c r="S33" i="1" s="1"/>
  <c r="R34" i="1"/>
  <c r="Q18" i="1"/>
  <c r="P17" i="1"/>
  <c r="P20" i="1" s="1"/>
  <c r="P27" i="1" l="1"/>
  <c r="P29" i="1" s="1"/>
  <c r="P44" i="1"/>
  <c r="P45" i="1" s="1"/>
  <c r="P21" i="1"/>
  <c r="R18" i="1"/>
  <c r="Q17" i="1"/>
  <c r="Q20" i="1" s="1"/>
  <c r="S40" i="1"/>
  <c r="T14" i="1"/>
  <c r="S23" i="1"/>
  <c r="S37" i="1"/>
  <c r="T33" i="1" s="1"/>
  <c r="S34" i="1"/>
  <c r="U25" i="1"/>
  <c r="T24" i="1"/>
  <c r="T40" i="1" l="1"/>
  <c r="U14" i="1"/>
  <c r="T23" i="1"/>
  <c r="T37" i="1"/>
  <c r="U33" i="1" s="1"/>
  <c r="T34" i="1"/>
  <c r="Q27" i="1"/>
  <c r="Q29" i="1" s="1"/>
  <c r="Q44" i="1"/>
  <c r="Q45" i="1" s="1"/>
  <c r="Q21" i="1"/>
  <c r="S18" i="1"/>
  <c r="R17" i="1"/>
  <c r="R20" i="1" s="1"/>
  <c r="V25" i="1"/>
  <c r="V24" i="1" s="1"/>
  <c r="U24" i="1"/>
  <c r="R27" i="1" l="1"/>
  <c r="R29" i="1" s="1"/>
  <c r="R44" i="1"/>
  <c r="R45" i="1" s="1"/>
  <c r="R21" i="1"/>
  <c r="T18" i="1"/>
  <c r="S17" i="1"/>
  <c r="S20" i="1" s="1"/>
  <c r="V14" i="1"/>
  <c r="U37" i="1"/>
  <c r="V33" i="1" s="1"/>
  <c r="U23" i="1"/>
  <c r="U40" i="1"/>
  <c r="U34" i="1"/>
  <c r="V37" i="1" l="1"/>
  <c r="V23" i="1"/>
  <c r="V40" i="1"/>
  <c r="V34" i="1"/>
  <c r="U18" i="1"/>
  <c r="T17" i="1"/>
  <c r="T20" i="1" s="1"/>
  <c r="S27" i="1"/>
  <c r="S29" i="1" s="1"/>
  <c r="S44" i="1"/>
  <c r="S45" i="1" s="1"/>
  <c r="S21" i="1"/>
  <c r="V18" i="1" l="1"/>
  <c r="V17" i="1" s="1"/>
  <c r="V20" i="1" s="1"/>
  <c r="U17" i="1"/>
  <c r="U20" i="1" s="1"/>
  <c r="T27" i="1"/>
  <c r="T29" i="1" s="1"/>
  <c r="T44" i="1"/>
  <c r="T45" i="1" s="1"/>
  <c r="T21" i="1"/>
  <c r="U44" i="1" l="1"/>
  <c r="U45" i="1" s="1"/>
  <c r="U21" i="1"/>
  <c r="U27" i="1"/>
  <c r="U29" i="1" s="1"/>
  <c r="V21" i="1"/>
  <c r="V27" i="1"/>
  <c r="V29" i="1" s="1"/>
  <c r="V44" i="1"/>
  <c r="R46" i="1" l="1"/>
  <c r="R47" i="1" s="1"/>
  <c r="V45" i="1"/>
  <c r="R48" i="1" l="1"/>
  <c r="R51" i="1" s="1"/>
  <c r="R53" i="1" s="1"/>
</calcChain>
</file>

<file path=xl/sharedStrings.xml><?xml version="1.0" encoding="utf-8"?>
<sst xmlns="http://schemas.openxmlformats.org/spreadsheetml/2006/main" count="133" uniqueCount="102">
  <si>
    <t>Integrated Financial Statements</t>
  </si>
  <si>
    <t>[COSTCO]</t>
  </si>
  <si>
    <t> </t>
  </si>
  <si>
    <t>Ticker</t>
  </si>
  <si>
    <t>COST</t>
  </si>
  <si>
    <t>Implied Share Price</t>
  </si>
  <si>
    <t>Margin of Safety (20%)</t>
  </si>
  <si>
    <t>Implied Upside / Downside</t>
  </si>
  <si>
    <t>Date</t>
  </si>
  <si>
    <t xml:space="preserve">Current Share Price </t>
  </si>
  <si>
    <t>INSERT NAME</t>
  </si>
  <si>
    <t>WACC</t>
  </si>
  <si>
    <t>average interest rate</t>
  </si>
  <si>
    <t>TGR</t>
  </si>
  <si>
    <t xml:space="preserve">taxe rate </t>
  </si>
  <si>
    <t>average OpExp</t>
  </si>
  <si>
    <t>Sales CAGR</t>
  </si>
  <si>
    <t>D&amp;A</t>
  </si>
  <si>
    <t>change in NWC</t>
  </si>
  <si>
    <t>Historical</t>
  </si>
  <si>
    <t>Projected</t>
  </si>
  <si>
    <t>x</t>
  </si>
  <si>
    <t>INCOME STATEMENT</t>
  </si>
  <si>
    <t>Revenue</t>
  </si>
  <si>
    <t>% growth</t>
  </si>
  <si>
    <t>Operating expenses</t>
  </si>
  <si>
    <t>% of  sales</t>
  </si>
  <si>
    <t>SG&amp;A</t>
  </si>
  <si>
    <t>(incl. in Op. Exp.)</t>
  </si>
  <si>
    <t>EBIT</t>
  </si>
  <si>
    <t>% of sales</t>
  </si>
  <si>
    <t>EBIT Business 1</t>
  </si>
  <si>
    <t>Interest</t>
  </si>
  <si>
    <t>Avg. Debt</t>
  </si>
  <si>
    <t>Effective Interest Rate</t>
  </si>
  <si>
    <t>EBT</t>
  </si>
  <si>
    <t>Tax</t>
  </si>
  <si>
    <t>Effective Tax Rate</t>
  </si>
  <si>
    <t>Cash Flow Items</t>
  </si>
  <si>
    <t>CapEx</t>
  </si>
  <si>
    <t>Change in NWC</t>
  </si>
  <si>
    <t>Time Period</t>
  </si>
  <si>
    <t>Free Cash Flow to Firm (FCFF)</t>
  </si>
  <si>
    <t>PV of FCFF</t>
  </si>
  <si>
    <t>Terminal Value</t>
  </si>
  <si>
    <t>PV of Terminal Value</t>
  </si>
  <si>
    <t>Enterprise Value</t>
  </si>
  <si>
    <t>+ Cash</t>
  </si>
  <si>
    <t>- Debt</t>
  </si>
  <si>
    <t>Equity Value</t>
  </si>
  <si>
    <t>Share Price</t>
  </si>
  <si>
    <t>Diluted Shares Outstanding</t>
  </si>
  <si>
    <t>WACC — WEIGHTED AVERAGE COST OF CAPITAL</t>
  </si>
  <si>
    <t>Costco Wholesale Corporation (COST)  |  March 2026</t>
  </si>
  <si>
    <t>1. Cost of Equity  (CAPM)</t>
  </si>
  <si>
    <t>Risk-Free Rate (10Y US Treasury, normalized)</t>
  </si>
  <si>
    <t>Kroll recommended rate — Jan 2026</t>
  </si>
  <si>
    <t>Equity Risk Premium (ERP)</t>
  </si>
  <si>
    <t>Kroll Duff &amp; Phelps, 2026</t>
  </si>
  <si>
    <t>Beta (5Y Monthly vs. S&amp;P 500)</t>
  </si>
  <si>
    <t>Source: Yahoo Finance, Mar 2026</t>
  </si>
  <si>
    <t>Cost of Equity  [Ke = Rf + β × ERP]</t>
  </si>
  <si>
    <t>2. Cost of Debt</t>
  </si>
  <si>
    <t>Gross Debt — most recent balance sheet ($M)</t>
  </si>
  <si>
    <t>10-K FY2025</t>
  </si>
  <si>
    <t>Interest Expense, TTM ($M)</t>
  </si>
  <si>
    <t>Pre-Tax Cost of Debt</t>
  </si>
  <si>
    <t>3Y average effective tax rate</t>
  </si>
  <si>
    <t>After-Tax Cost of Debt  [Kd × (1 − t)]</t>
  </si>
  <si>
    <t>3. Capital Structure</t>
  </si>
  <si>
    <t>Market Capitalization ($M)</t>
  </si>
  <si>
    <t>443.65M shares × $965</t>
  </si>
  <si>
    <t>Gross Debt ($M)</t>
  </si>
  <si>
    <t>Total Capital ($M)</t>
  </si>
  <si>
    <t>Weight of Equity  [E / (E+D)]</t>
  </si>
  <si>
    <t>Weight of Debt  [D / (E+D)]</t>
  </si>
  <si>
    <t>4. WACC  [Ke × We + Kd(1−t) × Wd]</t>
  </si>
  <si>
    <t>→ Used in DCF Model</t>
  </si>
  <si>
    <t>Note: Blue cells = inputs. Black cells = formulas. All figures in $M unless stated.</t>
  </si>
  <si>
    <t>EQUITY BRIDGE — ENTERPRISE VALUE TO SHARE PRICE</t>
  </si>
  <si>
    <t>Costco Wholesale Corporation (COST)  |  Intrinsic Value Analysis</t>
  </si>
  <si>
    <t>Enterprise Value Build ($M)</t>
  </si>
  <si>
    <t>PV of Free Cash Flows (Years 1–10)</t>
  </si>
  <si>
    <t>Bridge to Equity Value ($M)</t>
  </si>
  <si>
    <t xml:space="preserve">   (+) Cash &amp; Equivalents</t>
  </si>
  <si>
    <t xml:space="preserve">   (−) Total Debt</t>
  </si>
  <si>
    <t xml:space="preserve">   (−) Minority Interest</t>
  </si>
  <si>
    <t xml:space="preserve">   (−) Pension / Other Obligations</t>
  </si>
  <si>
    <t>Per Share Valuation</t>
  </si>
  <si>
    <t xml:space="preserve">   Diluted Shares Outstanding (M)</t>
  </si>
  <si>
    <t xml:space="preserve">   Current Market Price</t>
  </si>
  <si>
    <t>Implied Upside / (Downside)</t>
  </si>
  <si>
    <t>Margin of Safety</t>
  </si>
  <si>
    <t>Margin of Safety (−20% discount)</t>
  </si>
  <si>
    <t>HOLD  |  Limited upside at current levels</t>
  </si>
  <si>
    <t>→ Fair Value: ~$714/sh</t>
  </si>
  <si>
    <t>Source: Company 10-K FY2025, FactSet, Bloomberg. Market data as of March 2026.</t>
  </si>
  <si>
    <t>SENSITIVITY ANALYSIS — IMPLIED SHARE PRICE  (WACC × Terminal Growth Rate)</t>
  </si>
  <si>
    <t>Costco Wholesale Corporation (COST)  |  Base case highlighted in orange  |  All values in $/share</t>
  </si>
  <si>
    <t>TGR \ WACC</t>
  </si>
  <si>
    <t>N/A</t>
  </si>
  <si>
    <t>Color code: Green = above current market price ($965)  |  Yellow = $700–$965  |  Red = below $700  |  Orange = base case (WACC 8.8%, TGR 3.8%)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</si>
</sst>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"/>
    <numFmt numFmtId="165" formatCode="_-[$€-2]\ * #,##0.00_-;\-[$€-2]\ * #,##0.00_-;_-[$€-2]\ * \-??_-;_-@_-"/>
    <numFmt numFmtId="166" formatCode="0%;\(0%\)"/>
    <numFmt numFmtId="167" formatCode="m/d/yyyy"/>
    <numFmt numFmtId="168" formatCode="_([$€-2]\ * #,##0.00_);_([$€-2]\ * \(#,##0.00\);_([$€-2]\ * \-??_);_(@_)"/>
    <numFmt numFmtId="169" formatCode="0.0%"/>
    <numFmt numFmtId="170" formatCode="0.0%;\(0.0\)%"/>
    <numFmt numFmtId="171" formatCode="#.##0;\(#.##0\)"/>
    <numFmt numFmtId="172" formatCode="#,##0.000"/>
    <numFmt numFmtId="173" formatCode="#,##0;\(#,##0\)"/>
    <numFmt numFmtId="174" formatCode="#,###,,;\(#,###,,\);&quot; - -&quot;"/>
    <numFmt numFmtId="175" formatCode="0.0"/>
    <numFmt numFmtId="176" formatCode="0.0%;\(0.0%\)"/>
    <numFmt numFmtId="177" formatCode="\$#,##0"/>
    <numFmt numFmtId="178" formatCode="\$#,##0.00"/>
  </numFmts>
  <fonts count="48" x14ac:knownFonts="1">
    <font>
      <sz val="12"/>
      <color rgb="FF000000"/>
      <name val="Calibri"/>
      <family val="1"/>
      <charset val="1"/>
    </font>
    <font>
      <sz val="10"/>
      <color rgb="FF000000"/>
      <name val="Arial"/>
      <family val="2"/>
      <charset val="1"/>
    </font>
    <font>
      <sz val="9"/>
      <color rgb="FFFFFFFF"/>
      <name val="Calibri"/>
      <family val="2"/>
    </font>
    <font>
      <b/>
      <sz val="9"/>
      <color rgb="FF1F3864"/>
      <name val="Calibri"/>
      <family val="2"/>
    </font>
    <font>
      <sz val="12"/>
      <color theme="1"/>
      <name val="Calibri"/>
      <family val="1"/>
      <charset val="1"/>
    </font>
    <font>
      <b/>
      <i/>
      <sz val="12"/>
      <color rgb="FF000000"/>
      <name val="Calibri"/>
      <family val="2"/>
      <charset val="1"/>
    </font>
    <font>
      <b/>
      <sz val="28"/>
      <color rgb="FF000000"/>
      <name val="Calibri"/>
      <family val="2"/>
      <charset val="1"/>
    </font>
    <font>
      <sz val="10"/>
      <color rgb="FF333333"/>
      <name val="Arial"/>
      <family val="2"/>
      <charset val="1"/>
    </font>
    <font>
      <sz val="10"/>
      <color rgb="FF0080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8"/>
      <color rgb="FF1F3864"/>
      <name val="Calibri"/>
      <family val="2"/>
    </font>
    <font>
      <b/>
      <sz val="9"/>
      <color rgb="FFFFFFFF"/>
      <name val="Calibri"/>
      <family val="2"/>
    </font>
    <font>
      <i/>
      <sz val="12"/>
      <color rgb="FF000000"/>
      <name val="Calibri"/>
      <family val="2"/>
      <charset val="1"/>
    </font>
    <font>
      <sz val="12"/>
      <color theme="0"/>
      <name val="Calibri"/>
      <family val="1"/>
      <charset val="1"/>
    </font>
    <font>
      <sz val="12"/>
      <color theme="5" tint="-0.499984740745262"/>
      <name val="Calibri"/>
      <family val="1"/>
      <charset val="1"/>
    </font>
    <font>
      <sz val="12"/>
      <color theme="4"/>
      <name val="Calibri"/>
      <family val="2"/>
      <charset val="1"/>
    </font>
    <font>
      <b/>
      <sz val="12"/>
      <color theme="4"/>
      <name val="Calibri"/>
      <family val="2"/>
      <charset val="1"/>
    </font>
    <font>
      <sz val="12"/>
      <color theme="4"/>
      <name val="Calibri"/>
      <family val="1"/>
      <charset val="1"/>
    </font>
    <font>
      <i/>
      <sz val="12"/>
      <color theme="1"/>
      <name val="Calibri"/>
      <family val="2"/>
      <charset val="1"/>
    </font>
    <font>
      <sz val="12"/>
      <color theme="9"/>
      <name val="Calibri"/>
      <family val="1"/>
      <charset val="1"/>
    </font>
    <font>
      <sz val="12"/>
      <color rgb="FF000000"/>
      <name val="Calibri"/>
      <family val="2"/>
      <charset val="1"/>
    </font>
    <font>
      <sz val="12"/>
      <color theme="5" tint="-0.499984740745262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55595E"/>
      <name val="Arial"/>
      <family val="2"/>
      <charset val="1"/>
    </font>
    <font>
      <sz val="12"/>
      <color rgb="FF4472C4"/>
      <name val="Calibri"/>
      <family val="2"/>
      <charset val="1"/>
    </font>
    <font>
      <i/>
      <sz val="12"/>
      <color rgb="FF7030A0"/>
      <name val="Calibri"/>
      <family val="2"/>
      <charset val="1"/>
    </font>
    <font>
      <sz val="8"/>
      <color rgb="FF55595E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i/>
      <sz val="12"/>
      <color theme="0"/>
      <name val="Calibri"/>
      <family val="2"/>
      <charset val="1"/>
    </font>
    <font>
      <sz val="12"/>
      <color theme="9"/>
      <name val="Calibri"/>
      <family val="2"/>
      <charset val="1"/>
    </font>
    <font>
      <i/>
      <sz val="12"/>
      <color theme="9"/>
      <name val="Calibri"/>
      <family val="2"/>
      <charset val="1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9"/>
      <color rgb="FF0070C0"/>
      <name val="Calibri"/>
      <family val="2"/>
    </font>
    <font>
      <i/>
      <sz val="8"/>
      <color rgb="FF595959"/>
      <name val="Calibri"/>
      <family val="2"/>
    </font>
    <font>
      <b/>
      <sz val="9"/>
      <color rgb="FF000000"/>
      <name val="Calibri"/>
      <family val="2"/>
    </font>
    <font>
      <b/>
      <sz val="16"/>
      <color rgb="FFFFFFFF"/>
      <name val="Calibri"/>
      <family val="2"/>
    </font>
    <font>
      <b/>
      <sz val="9"/>
      <color rgb="FF2E5597"/>
      <name val="Calibri"/>
      <family val="2"/>
    </font>
    <font>
      <i/>
      <sz val="7"/>
      <color rgb="FF595959"/>
      <name val="Calibri"/>
      <family val="2"/>
    </font>
    <font>
      <b/>
      <sz val="9"/>
      <color rgb="FFC00000"/>
      <name val="Calibri"/>
      <family val="2"/>
    </font>
    <font>
      <b/>
      <sz val="10"/>
      <color rgb="FF1F3864"/>
      <name val="Calibri"/>
      <family val="2"/>
    </font>
    <font>
      <i/>
      <sz val="9"/>
      <color rgb="FFFFFFFF"/>
      <name val="Calibri"/>
      <family val="2"/>
    </font>
    <font>
      <sz val="9"/>
      <color rgb="FF375623"/>
      <name val="Calibri"/>
      <family val="2"/>
    </font>
    <font>
      <sz val="9"/>
      <color rgb="FF9C5700"/>
      <name val="Calibri"/>
      <family val="2"/>
    </font>
    <font>
      <sz val="9"/>
      <color rgb="FF9C0006"/>
      <name val="Calibri"/>
      <family val="2"/>
    </font>
    <font>
      <sz val="9"/>
      <color rgb="FF59595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5F7FA"/>
      </patternFill>
    </fill>
    <fill>
      <patternFill patternType="solid">
        <fgColor rgb="FF2E5597"/>
        <bgColor rgb="FF2F5597"/>
      </patternFill>
    </fill>
    <fill>
      <patternFill patternType="solid">
        <fgColor rgb="FFD6E4F7"/>
        <bgColor rgb="FFD9D9D9"/>
      </patternFill>
    </fill>
    <fill>
      <patternFill patternType="solid">
        <fgColor theme="7" tint="0.59978026673177287"/>
        <bgColor rgb="FFFFEB9C"/>
      </patternFill>
    </fill>
    <fill>
      <patternFill patternType="solid">
        <fgColor rgb="FFC6EFCE"/>
        <bgColor rgb="FFD6E4F7"/>
      </patternFill>
    </fill>
    <fill>
      <patternFill patternType="solid">
        <fgColor rgb="FFFFFF00"/>
        <bgColor rgb="FFFFD966"/>
      </patternFill>
    </fill>
    <fill>
      <patternFill patternType="solid">
        <fgColor theme="7" tint="0.39979247413556324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theme="4" tint="-0.249977111117893"/>
        <bgColor rgb="FF2E5597"/>
      </patternFill>
    </fill>
    <fill>
      <patternFill patternType="solid">
        <fgColor rgb="FFF5F7FA"/>
        <bgColor rgb="FFFFFFFF"/>
      </patternFill>
    </fill>
    <fill>
      <patternFill patternType="solid">
        <fgColor rgb="FFFCE4D6"/>
        <bgColor rgb="FFF5F7FA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D9D9D9"/>
        <bgColor rgb="FFC9CDD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CDD4"/>
      </left>
      <right style="thin">
        <color rgb="FFC9CDD4"/>
      </right>
      <top style="thin">
        <color rgb="FFC9CDD4"/>
      </top>
      <bottom style="thin">
        <color rgb="FFC9CDD4"/>
      </bottom>
      <diagonal/>
    </border>
  </borders>
  <cellStyleXfs count="2">
    <xf numFmtId="0" fontId="0" fillId="0" borderId="0"/>
    <xf numFmtId="164" fontId="1" fillId="2" borderId="1">
      <alignment horizontal="right"/>
    </xf>
  </cellStyleXfs>
  <cellXfs count="161">
    <xf numFmtId="0" fontId="0" fillId="0" borderId="0" xfId="0"/>
    <xf numFmtId="0" fontId="43" fillId="3" borderId="0" xfId="0" applyFont="1" applyFill="1" applyAlignment="1">
      <alignment horizontal="left" vertical="center"/>
    </xf>
    <xf numFmtId="0" fontId="40" fillId="0" borderId="0" xfId="0" applyFont="1" applyAlignment="1">
      <alignment horizontal="left" vertical="center"/>
    </xf>
    <xf numFmtId="10" fontId="38" fillId="9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3" fillId="9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2" fontId="0" fillId="0" borderId="2" xfId="0" applyNumberFormat="1" applyBorder="1"/>
    <xf numFmtId="2" fontId="0" fillId="0" borderId="0" xfId="0" applyNumberFormat="1"/>
    <xf numFmtId="0" fontId="2" fillId="3" borderId="0" xfId="0" applyFont="1" applyFill="1"/>
    <xf numFmtId="0" fontId="3" fillId="4" borderId="0" xfId="0" applyFont="1" applyFill="1"/>
    <xf numFmtId="0" fontId="4" fillId="5" borderId="3" xfId="0" applyFont="1" applyFill="1" applyBorder="1" applyAlignment="1">
      <alignment horizontal="center"/>
    </xf>
    <xf numFmtId="165" fontId="1" fillId="0" borderId="0" xfId="0" applyNumberFormat="1" applyFont="1"/>
    <xf numFmtId="166" fontId="1" fillId="6" borderId="0" xfId="0" applyNumberFormat="1" applyFont="1" applyFill="1"/>
    <xf numFmtId="167" fontId="4" fillId="5" borderId="3" xfId="0" applyNumberFormat="1" applyFont="1" applyFill="1" applyBorder="1"/>
    <xf numFmtId="0" fontId="5" fillId="0" borderId="0" xfId="0" applyFont="1"/>
    <xf numFmtId="168" fontId="0" fillId="7" borderId="0" xfId="0" applyNumberFormat="1" applyFill="1"/>
    <xf numFmtId="0" fontId="7" fillId="0" borderId="0" xfId="0" applyFont="1"/>
    <xf numFmtId="10" fontId="8" fillId="8" borderId="4" xfId="0" applyNumberFormat="1" applyFont="1" applyFill="1" applyBorder="1" applyAlignment="1">
      <alignment horizontal="center"/>
    </xf>
    <xf numFmtId="10" fontId="1" fillId="0" borderId="0" xfId="0" applyNumberFormat="1" applyFont="1"/>
    <xf numFmtId="0" fontId="10" fillId="0" borderId="0" xfId="0" applyFont="1"/>
    <xf numFmtId="10" fontId="0" fillId="0" borderId="0" xfId="0" applyNumberFormat="1"/>
    <xf numFmtId="9" fontId="0" fillId="0" borderId="0" xfId="0" applyNumberFormat="1"/>
    <xf numFmtId="169" fontId="0" fillId="8" borderId="4" xfId="0" applyNumberFormat="1" applyFill="1" applyBorder="1" applyAlignment="1">
      <alignment horizontal="center"/>
    </xf>
    <xf numFmtId="10" fontId="8" fillId="0" borderId="0" xfId="0" applyNumberFormat="1" applyFont="1"/>
    <xf numFmtId="0" fontId="11" fillId="4" borderId="0" xfId="0" applyFont="1" applyFill="1" applyAlignment="1">
      <alignment horizontal="center" vertical="center" wrapText="1"/>
    </xf>
    <xf numFmtId="10" fontId="11" fillId="4" borderId="4" xfId="0" applyNumberFormat="1" applyFont="1" applyFill="1" applyBorder="1" applyAlignment="1">
      <alignment horizontal="center" vertical="center" wrapText="1"/>
    </xf>
    <xf numFmtId="169" fontId="11" fillId="4" borderId="0" xfId="0" applyNumberFormat="1" applyFont="1" applyFill="1" applyAlignment="1">
      <alignment horizontal="center" vertical="center" wrapText="1"/>
    </xf>
    <xf numFmtId="10" fontId="12" fillId="9" borderId="4" xfId="0" applyNumberFormat="1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170" fontId="12" fillId="9" borderId="0" xfId="0" applyNumberFormat="1" applyFont="1" applyFill="1" applyAlignment="1">
      <alignment horizontal="center" vertical="center"/>
    </xf>
    <xf numFmtId="0" fontId="13" fillId="0" borderId="0" xfId="0" applyFont="1"/>
    <xf numFmtId="2" fontId="13" fillId="0" borderId="0" xfId="0" applyNumberFormat="1" applyFont="1"/>
    <xf numFmtId="0" fontId="14" fillId="10" borderId="0" xfId="0" applyFont="1" applyFill="1"/>
    <xf numFmtId="2" fontId="14" fillId="10" borderId="0" xfId="0" applyNumberFormat="1" applyFont="1" applyFill="1"/>
    <xf numFmtId="0" fontId="15" fillId="0" borderId="0" xfId="0" applyFont="1"/>
    <xf numFmtId="3" fontId="16" fillId="0" borderId="0" xfId="0" applyNumberFormat="1" applyFont="1"/>
    <xf numFmtId="1" fontId="17" fillId="0" borderId="2" xfId="0" applyNumberFormat="1" applyFont="1" applyBorder="1"/>
    <xf numFmtId="3" fontId="17" fillId="0" borderId="2" xfId="0" applyNumberFormat="1" applyFont="1" applyBorder="1"/>
    <xf numFmtId="0" fontId="18" fillId="0" borderId="0" xfId="0" applyFont="1"/>
    <xf numFmtId="0" fontId="13" fillId="0" borderId="5" xfId="0" applyFont="1" applyBorder="1" applyAlignment="1">
      <alignment horizontal="left" indent="1"/>
    </xf>
    <xf numFmtId="0" fontId="0" fillId="0" borderId="5" xfId="0" applyBorder="1"/>
    <xf numFmtId="169" fontId="13" fillId="0" borderId="5" xfId="0" applyNumberFormat="1" applyFont="1" applyBorder="1"/>
    <xf numFmtId="10" fontId="19" fillId="5" borderId="6" xfId="0" applyNumberFormat="1" applyFont="1" applyFill="1" applyBorder="1"/>
    <xf numFmtId="0" fontId="21" fillId="0" borderId="0" xfId="0" applyFont="1" applyAlignment="1">
      <alignment horizontal="left" indent="2"/>
    </xf>
    <xf numFmtId="3" fontId="22" fillId="0" borderId="0" xfId="0" applyNumberFormat="1" applyFont="1"/>
    <xf numFmtId="2" fontId="16" fillId="0" borderId="2" xfId="0" applyNumberFormat="1" applyFont="1" applyBorder="1"/>
    <xf numFmtId="0" fontId="10" fillId="0" borderId="0" xfId="0" applyFont="1" applyAlignment="1">
      <alignment vertical="top"/>
    </xf>
    <xf numFmtId="0" fontId="24" fillId="0" borderId="0" xfId="0" applyFont="1"/>
    <xf numFmtId="1" fontId="25" fillId="0" borderId="0" xfId="0" applyNumberFormat="1" applyFont="1"/>
    <xf numFmtId="2" fontId="17" fillId="0" borderId="2" xfId="0" applyNumberFormat="1" applyFont="1" applyBorder="1"/>
    <xf numFmtId="0" fontId="13" fillId="0" borderId="0" xfId="0" applyFont="1" applyAlignment="1">
      <alignment horizontal="left" indent="2"/>
    </xf>
    <xf numFmtId="3" fontId="21" fillId="0" borderId="0" xfId="0" applyNumberFormat="1" applyFont="1"/>
    <xf numFmtId="10" fontId="21" fillId="0" borderId="0" xfId="0" applyNumberFormat="1" applyFont="1"/>
    <xf numFmtId="10" fontId="26" fillId="5" borderId="7" xfId="0" applyNumberFormat="1" applyFont="1" applyFill="1" applyBorder="1"/>
    <xf numFmtId="0" fontId="27" fillId="0" borderId="0" xfId="0" applyFont="1"/>
    <xf numFmtId="0" fontId="13" fillId="0" borderId="0" xfId="0" applyFont="1" applyAlignment="1">
      <alignment horizontal="center"/>
    </xf>
    <xf numFmtId="0" fontId="9" fillId="0" borderId="0" xfId="0" applyFont="1"/>
    <xf numFmtId="9" fontId="0" fillId="0" borderId="2" xfId="0" applyNumberFormat="1" applyBorder="1"/>
    <xf numFmtId="169" fontId="1" fillId="0" borderId="5" xfId="0" applyNumberFormat="1" applyFont="1" applyBorder="1"/>
    <xf numFmtId="10" fontId="1" fillId="5" borderId="6" xfId="0" applyNumberFormat="1" applyFont="1" applyFill="1" applyBorder="1"/>
    <xf numFmtId="0" fontId="0" fillId="0" borderId="0" xfId="0" applyAlignment="1">
      <alignment horizontal="left" indent="2"/>
    </xf>
    <xf numFmtId="3" fontId="16" fillId="0" borderId="2" xfId="0" applyNumberFormat="1" applyFont="1" applyBorder="1"/>
    <xf numFmtId="0" fontId="13" fillId="0" borderId="0" xfId="0" applyFont="1" applyAlignment="1">
      <alignment horizontal="left" indent="3"/>
    </xf>
    <xf numFmtId="10" fontId="13" fillId="0" borderId="0" xfId="0" applyNumberFormat="1" applyFont="1"/>
    <xf numFmtId="2" fontId="1" fillId="5" borderId="8" xfId="0" applyNumberFormat="1" applyFont="1" applyFill="1" applyBorder="1"/>
    <xf numFmtId="169" fontId="1" fillId="5" borderId="8" xfId="0" applyNumberFormat="1" applyFont="1" applyFill="1" applyBorder="1"/>
    <xf numFmtId="0" fontId="1" fillId="0" borderId="0" xfId="0" applyFont="1"/>
    <xf numFmtId="171" fontId="22" fillId="0" borderId="0" xfId="0" applyNumberFormat="1" applyFont="1"/>
    <xf numFmtId="1" fontId="1" fillId="0" borderId="2" xfId="0" applyNumberFormat="1" applyFont="1" applyBorder="1"/>
    <xf numFmtId="172" fontId="0" fillId="0" borderId="0" xfId="0" applyNumberFormat="1"/>
    <xf numFmtId="2" fontId="1" fillId="5" borderId="9" xfId="0" applyNumberFormat="1" applyFont="1" applyFill="1" applyBorder="1"/>
    <xf numFmtId="0" fontId="7" fillId="0" borderId="0" xfId="0" applyFont="1" applyAlignment="1">
      <alignment horizontal="left" indent="1"/>
    </xf>
    <xf numFmtId="0" fontId="7" fillId="0" borderId="5" xfId="0" applyFont="1" applyBorder="1" applyAlignment="1">
      <alignment horizontal="left" indent="1"/>
    </xf>
    <xf numFmtId="10" fontId="13" fillId="0" borderId="5" xfId="0" applyNumberFormat="1" applyFont="1" applyBorder="1"/>
    <xf numFmtId="2" fontId="13" fillId="0" borderId="5" xfId="0" applyNumberFormat="1" applyFont="1" applyBorder="1"/>
    <xf numFmtId="2" fontId="1" fillId="0" borderId="5" xfId="0" applyNumberFormat="1" applyFont="1" applyBorder="1"/>
    <xf numFmtId="10" fontId="0" fillId="0" borderId="2" xfId="0" applyNumberFormat="1" applyBorder="1"/>
    <xf numFmtId="2" fontId="1" fillId="0" borderId="2" xfId="0" applyNumberFormat="1" applyFont="1" applyBorder="1"/>
    <xf numFmtId="10" fontId="1" fillId="0" borderId="5" xfId="0" applyNumberFormat="1" applyFont="1" applyBorder="1"/>
    <xf numFmtId="10" fontId="1" fillId="0" borderId="10" xfId="0" applyNumberFormat="1" applyFont="1" applyBorder="1"/>
    <xf numFmtId="0" fontId="13" fillId="0" borderId="0" xfId="0" applyFont="1" applyAlignment="1">
      <alignment horizontal="left" indent="1"/>
    </xf>
    <xf numFmtId="2" fontId="14" fillId="10" borderId="2" xfId="0" applyNumberFormat="1" applyFont="1" applyFill="1" applyBorder="1"/>
    <xf numFmtId="173" fontId="22" fillId="0" borderId="0" xfId="0" applyNumberFormat="1" applyFont="1"/>
    <xf numFmtId="173" fontId="1" fillId="0" borderId="0" xfId="0" applyNumberFormat="1" applyFont="1"/>
    <xf numFmtId="169" fontId="13" fillId="0" borderId="0" xfId="0" applyNumberFormat="1" applyFont="1"/>
    <xf numFmtId="169" fontId="1" fillId="0" borderId="0" xfId="0" applyNumberFormat="1" applyFont="1"/>
    <xf numFmtId="10" fontId="26" fillId="5" borderId="8" xfId="0" applyNumberFormat="1" applyFont="1" applyFill="1" applyBorder="1"/>
    <xf numFmtId="10" fontId="26" fillId="5" borderId="11" xfId="0" applyNumberFormat="1" applyFont="1" applyFill="1" applyBorder="1"/>
    <xf numFmtId="170" fontId="13" fillId="0" borderId="0" xfId="0" applyNumberFormat="1" applyFont="1"/>
    <xf numFmtId="170" fontId="1" fillId="0" borderId="0" xfId="0" applyNumberFormat="1" applyFont="1"/>
    <xf numFmtId="2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28" fillId="0" borderId="0" xfId="0" applyFont="1"/>
    <xf numFmtId="2" fontId="17" fillId="0" borderId="0" xfId="0" applyNumberFormat="1" applyFont="1"/>
    <xf numFmtId="0" fontId="21" fillId="0" borderId="0" xfId="0" applyFont="1"/>
    <xf numFmtId="2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49" fontId="0" fillId="0" borderId="0" xfId="0" applyNumberFormat="1"/>
    <xf numFmtId="173" fontId="29" fillId="0" borderId="4" xfId="0" applyNumberFormat="1" applyFont="1" applyBorder="1" applyAlignment="1">
      <alignment horizontal="right"/>
    </xf>
    <xf numFmtId="173" fontId="0" fillId="0" borderId="0" xfId="0" applyNumberFormat="1"/>
    <xf numFmtId="174" fontId="10" fillId="0" borderId="0" xfId="0" applyNumberFormat="1" applyFont="1"/>
    <xf numFmtId="175" fontId="23" fillId="5" borderId="4" xfId="0" applyNumberFormat="1" applyFont="1" applyFill="1" applyBorder="1" applyAlignment="1">
      <alignment horizontal="right"/>
    </xf>
    <xf numFmtId="173" fontId="17" fillId="0" borderId="0" xfId="0" applyNumberFormat="1" applyFont="1"/>
    <xf numFmtId="169" fontId="30" fillId="0" borderId="0" xfId="0" applyNumberFormat="1" applyFont="1"/>
    <xf numFmtId="0" fontId="10" fillId="0" borderId="0" xfId="0" applyFont="1" applyAlignment="1">
      <alignment horizontal="left" indent="1"/>
    </xf>
    <xf numFmtId="1" fontId="17" fillId="0" borderId="0" xfId="0" applyNumberFormat="1" applyFont="1"/>
    <xf numFmtId="176" fontId="26" fillId="0" borderId="0" xfId="0" applyNumberFormat="1" applyFont="1" applyAlignment="1">
      <alignment horizontal="right"/>
    </xf>
    <xf numFmtId="173" fontId="31" fillId="0" borderId="0" xfId="0" applyNumberFormat="1" applyFont="1"/>
    <xf numFmtId="169" fontId="32" fillId="0" borderId="0" xfId="0" applyNumberFormat="1" applyFont="1" applyAlignment="1">
      <alignment horizontal="right"/>
    </xf>
    <xf numFmtId="2" fontId="30" fillId="0" borderId="0" xfId="0" applyNumberFormat="1" applyFont="1"/>
    <xf numFmtId="9" fontId="26" fillId="0" borderId="0" xfId="0" applyNumberFormat="1" applyFont="1" applyAlignment="1">
      <alignment horizontal="right"/>
    </xf>
    <xf numFmtId="169" fontId="0" fillId="0" borderId="0" xfId="0" applyNumberFormat="1"/>
    <xf numFmtId="2" fontId="26" fillId="0" borderId="0" xfId="0" applyNumberFormat="1" applyFont="1" applyAlignment="1">
      <alignment horizontal="right"/>
    </xf>
    <xf numFmtId="2" fontId="32" fillId="0" borderId="0" xfId="0" applyNumberFormat="1" applyFont="1" applyAlignment="1">
      <alignment horizontal="right"/>
    </xf>
    <xf numFmtId="0" fontId="34" fillId="2" borderId="15" xfId="0" applyFont="1" applyFill="1" applyBorder="1" applyAlignment="1">
      <alignment horizontal="left" vertical="center"/>
    </xf>
    <xf numFmtId="10" fontId="35" fillId="2" borderId="15" xfId="0" applyNumberFormat="1" applyFont="1" applyFill="1" applyBorder="1" applyAlignment="1">
      <alignment horizontal="center" vertical="center"/>
    </xf>
    <xf numFmtId="0" fontId="36" fillId="2" borderId="15" xfId="0" applyFont="1" applyFill="1" applyBorder="1" applyAlignment="1">
      <alignment horizontal="left" vertical="center"/>
    </xf>
    <xf numFmtId="0" fontId="34" fillId="11" borderId="15" xfId="0" applyFont="1" applyFill="1" applyBorder="1" applyAlignment="1">
      <alignment horizontal="left" vertical="center"/>
    </xf>
    <xf numFmtId="10" fontId="35" fillId="11" borderId="15" xfId="0" applyNumberFormat="1" applyFont="1" applyFill="1" applyBorder="1" applyAlignment="1">
      <alignment horizontal="center" vertical="center"/>
    </xf>
    <xf numFmtId="0" fontId="36" fillId="11" borderId="15" xfId="0" applyFont="1" applyFill="1" applyBorder="1" applyAlignment="1">
      <alignment horizontal="left" vertical="center"/>
    </xf>
    <xf numFmtId="2" fontId="35" fillId="2" borderId="15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0" fontId="3" fillId="4" borderId="15" xfId="0" applyNumberFormat="1" applyFont="1" applyFill="1" applyBorder="1" applyAlignment="1">
      <alignment horizontal="center" vertical="center"/>
    </xf>
    <xf numFmtId="0" fontId="0" fillId="4" borderId="15" xfId="0" applyFill="1" applyBorder="1"/>
    <xf numFmtId="177" fontId="35" fillId="2" borderId="15" xfId="0" applyNumberFormat="1" applyFont="1" applyFill="1" applyBorder="1" applyAlignment="1">
      <alignment horizontal="center" vertical="center"/>
    </xf>
    <xf numFmtId="177" fontId="35" fillId="11" borderId="15" xfId="0" applyNumberFormat="1" applyFont="1" applyFill="1" applyBorder="1" applyAlignment="1">
      <alignment horizontal="center" vertical="center"/>
    </xf>
    <xf numFmtId="10" fontId="37" fillId="2" borderId="15" xfId="0" applyNumberFormat="1" applyFont="1" applyFill="1" applyBorder="1" applyAlignment="1">
      <alignment horizontal="center" vertical="center"/>
    </xf>
    <xf numFmtId="0" fontId="0" fillId="2" borderId="15" xfId="0" applyFill="1" applyBorder="1"/>
    <xf numFmtId="177" fontId="37" fillId="11" borderId="15" xfId="0" applyNumberFormat="1" applyFont="1" applyFill="1" applyBorder="1" applyAlignment="1">
      <alignment horizontal="center" vertical="center"/>
    </xf>
    <xf numFmtId="0" fontId="0" fillId="11" borderId="15" xfId="0" applyFill="1" applyBorder="1"/>
    <xf numFmtId="10" fontId="37" fillId="11" borderId="15" xfId="0" applyNumberFormat="1" applyFont="1" applyFill="1" applyBorder="1" applyAlignment="1">
      <alignment horizontal="center" vertical="center"/>
    </xf>
    <xf numFmtId="0" fontId="39" fillId="4" borderId="15" xfId="0" applyFont="1" applyFill="1" applyBorder="1" applyAlignment="1">
      <alignment horizontal="left" vertical="center"/>
    </xf>
    <xf numFmtId="177" fontId="34" fillId="2" borderId="15" xfId="0" applyNumberFormat="1" applyFont="1" applyFill="1" applyBorder="1" applyAlignment="1">
      <alignment horizontal="right" vertical="center"/>
    </xf>
    <xf numFmtId="177" fontId="34" fillId="11" borderId="15" xfId="0" applyNumberFormat="1" applyFont="1" applyFill="1" applyBorder="1" applyAlignment="1">
      <alignment horizontal="right" vertical="center"/>
    </xf>
    <xf numFmtId="177" fontId="3" fillId="4" borderId="15" xfId="0" applyNumberFormat="1" applyFont="1" applyFill="1" applyBorder="1" applyAlignment="1">
      <alignment horizontal="right" vertical="center"/>
    </xf>
    <xf numFmtId="0" fontId="34" fillId="2" borderId="15" xfId="0" applyFont="1" applyFill="1" applyBorder="1" applyAlignment="1">
      <alignment horizontal="right" vertical="center"/>
    </xf>
    <xf numFmtId="178" fontId="3" fillId="4" borderId="15" xfId="0" applyNumberFormat="1" applyFont="1" applyFill="1" applyBorder="1" applyAlignment="1">
      <alignment horizontal="right" vertical="center"/>
    </xf>
    <xf numFmtId="178" fontId="34" fillId="2" borderId="15" xfId="0" applyNumberFormat="1" applyFont="1" applyFill="1" applyBorder="1" applyAlignment="1">
      <alignment horizontal="right" vertical="center"/>
    </xf>
    <xf numFmtId="0" fontId="3" fillId="12" borderId="15" xfId="0" applyFont="1" applyFill="1" applyBorder="1" applyAlignment="1">
      <alignment horizontal="left" vertical="center"/>
    </xf>
    <xf numFmtId="169" fontId="41" fillId="12" borderId="15" xfId="0" applyNumberFormat="1" applyFont="1" applyFill="1" applyBorder="1" applyAlignment="1">
      <alignment horizontal="right" vertical="center"/>
    </xf>
    <xf numFmtId="0" fontId="0" fillId="12" borderId="15" xfId="0" applyFill="1" applyBorder="1"/>
    <xf numFmtId="0" fontId="42" fillId="4" borderId="15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center" vertical="center"/>
    </xf>
    <xf numFmtId="169" fontId="12" fillId="3" borderId="15" xfId="0" applyNumberFormat="1" applyFont="1" applyFill="1" applyBorder="1" applyAlignment="1">
      <alignment horizontal="center" vertical="center"/>
    </xf>
    <xf numFmtId="177" fontId="44" fillId="6" borderId="15" xfId="0" applyNumberFormat="1" applyFont="1" applyFill="1" applyBorder="1" applyAlignment="1">
      <alignment horizontal="center" vertical="center"/>
    </xf>
    <xf numFmtId="177" fontId="45" fillId="13" borderId="15" xfId="0" applyNumberFormat="1" applyFont="1" applyFill="1" applyBorder="1" applyAlignment="1">
      <alignment horizontal="center" vertical="center"/>
    </xf>
    <xf numFmtId="177" fontId="46" fillId="14" borderId="15" xfId="0" applyNumberFormat="1" applyFont="1" applyFill="1" applyBorder="1" applyAlignment="1">
      <alignment horizontal="center" vertical="center"/>
    </xf>
    <xf numFmtId="177" fontId="12" fillId="15" borderId="15" xfId="0" applyNumberFormat="1" applyFont="1" applyFill="1" applyBorder="1" applyAlignment="1">
      <alignment horizontal="center" vertical="center"/>
    </xf>
    <xf numFmtId="0" fontId="47" fillId="16" borderId="15" xfId="0" applyFont="1" applyFill="1" applyBorder="1" applyAlignment="1">
      <alignment horizontal="center" vertical="center"/>
    </xf>
    <xf numFmtId="0" fontId="20" fillId="0" borderId="0" xfId="0" applyFont="1" applyFill="1"/>
    <xf numFmtId="0" fontId="0" fillId="0" borderId="0" xfId="0" applyFill="1"/>
    <xf numFmtId="169" fontId="23" fillId="0" borderId="0" xfId="0" applyNumberFormat="1" applyFont="1" applyFill="1"/>
    <xf numFmtId="0" fontId="26" fillId="0" borderId="0" xfId="0" applyFont="1" applyFill="1"/>
    <xf numFmtId="0" fontId="27" fillId="0" borderId="0" xfId="0" applyFont="1" applyFill="1"/>
    <xf numFmtId="2" fontId="0" fillId="0" borderId="0" xfId="0" applyNumberFormat="1" applyFill="1"/>
    <xf numFmtId="2" fontId="3" fillId="0" borderId="0" xfId="0" applyNumberFormat="1" applyFont="1" applyFill="1"/>
  </cellXfs>
  <cellStyles count="2">
    <cellStyle name="fa_data_standard_1_grouped" xfId="1" xr:uid="{00000000-0005-0000-0000-000006000000}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5700"/>
      <rgbColor rgb="FF800080"/>
      <rgbColor rgb="FF2E5597"/>
      <rgbColor rgb="FFC9CDD4"/>
      <rgbColor rgb="FF595959"/>
      <rgbColor rgb="FF9999FF"/>
      <rgbColor rgb="FF7030A0"/>
      <rgbColor rgb="FFF5F7FA"/>
      <rgbColor rgb="FFD6E4F7"/>
      <rgbColor rgb="FF660066"/>
      <rgbColor rgb="FFFF8080"/>
      <rgbColor rgb="FF0070C0"/>
      <rgbColor rgb="FFD9D9D9"/>
      <rgbColor rgb="FF000080"/>
      <rgbColor rgb="FFFF00FF"/>
      <rgbColor rgb="FFFFE699"/>
      <rgbColor rgb="FF00FFFF"/>
      <rgbColor rgb="FF800080"/>
      <rgbColor rgb="FFC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ED7D31"/>
      <rgbColor rgb="FF55595E"/>
      <rgbColor rgb="FF70AD47"/>
      <rgbColor rgb="FF1F3864"/>
      <rgbColor rgb="FF339966"/>
      <rgbColor rgb="FF006100"/>
      <rgbColor rgb="FF375623"/>
      <rgbColor rgb="FF843C0B"/>
      <rgbColor rgb="FFC55A11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F3864"/>
  </sheetPr>
  <dimension ref="A1:AC89"/>
  <sheetViews>
    <sheetView showGridLines="0" tabSelected="1" zoomScale="94" zoomScaleNormal="90" workbookViewId="0">
      <pane xSplit="4" ySplit="10" topLeftCell="K12" activePane="bottomRight" state="frozen"/>
      <selection pane="topRight" activeCell="E1" sqref="E1"/>
      <selection pane="bottomLeft" activeCell="A11" sqref="A11"/>
      <selection pane="bottomRight" activeCell="N8" sqref="N8"/>
    </sheetView>
  </sheetViews>
  <sheetFormatPr baseColWidth="10" defaultColWidth="10.83203125" defaultRowHeight="16" outlineLevelRow="2" x14ac:dyDescent="0.2"/>
  <cols>
    <col min="1" max="1" width="3.83203125" customWidth="1"/>
    <col min="2" max="2" width="18.83203125" customWidth="1"/>
    <col min="3" max="3" width="11.33203125" customWidth="1"/>
    <col min="7" max="7" width="13.33203125" customWidth="1"/>
    <col min="9" max="10" width="13.5" customWidth="1"/>
    <col min="11" max="11" width="14.33203125" customWidth="1"/>
    <col min="12" max="12" width="13.5" customWidth="1"/>
    <col min="13" max="13" width="13.33203125" style="9" customWidth="1"/>
    <col min="14" max="15" width="11.83203125" customWidth="1"/>
    <col min="16" max="16" width="13.33203125" customWidth="1"/>
    <col min="17" max="17" width="10.33203125" customWidth="1"/>
    <col min="18" max="18" width="14.33203125" customWidth="1"/>
    <col min="20" max="20" width="14.33203125" customWidth="1"/>
    <col min="23" max="23" width="14" customWidth="1"/>
    <col min="24" max="25" width="15.33203125" customWidth="1"/>
    <col min="26" max="26" width="11.83203125" customWidth="1"/>
    <col min="29" max="29" width="11.33203125" customWidth="1"/>
  </cols>
  <sheetData>
    <row r="1" spans="1:29" ht="15.75" customHeight="1" x14ac:dyDescent="0.2">
      <c r="M1" s="10"/>
    </row>
    <row r="2" spans="1:29" ht="25.5" customHeight="1" x14ac:dyDescent="0.2">
      <c r="B2" s="11" t="s">
        <v>0</v>
      </c>
      <c r="L2" s="155"/>
      <c r="M2" s="159"/>
      <c r="N2" s="155"/>
    </row>
    <row r="3" spans="1:29" ht="25.5" customHeight="1" x14ac:dyDescent="0.2">
      <c r="B3" s="12" t="s">
        <v>1</v>
      </c>
      <c r="L3" s="155"/>
      <c r="M3" s="160" t="s">
        <v>2</v>
      </c>
      <c r="N3" s="155"/>
    </row>
    <row r="4" spans="1:29" ht="15.75" customHeight="1" x14ac:dyDescent="0.2">
      <c r="M4" s="10"/>
    </row>
    <row r="5" spans="1:29" ht="15.75" customHeight="1" x14ac:dyDescent="0.2">
      <c r="B5" t="s">
        <v>3</v>
      </c>
      <c r="C5" s="13" t="s">
        <v>4</v>
      </c>
      <c r="E5" t="s">
        <v>5</v>
      </c>
      <c r="H5" s="14">
        <f>R53</f>
        <v>714.03415497524816</v>
      </c>
      <c r="I5" t="s">
        <v>6</v>
      </c>
      <c r="K5" s="14">
        <f>H5*0.8</f>
        <v>571.22732398019855</v>
      </c>
      <c r="L5" t="s">
        <v>7</v>
      </c>
      <c r="M5" s="10"/>
      <c r="O5" s="15">
        <f>(H5-H6)/H6</f>
        <v>-0.26006823318627131</v>
      </c>
    </row>
    <row r="6" spans="1:29" ht="15.75" customHeight="1" x14ac:dyDescent="0.2">
      <c r="B6" t="s">
        <v>8</v>
      </c>
      <c r="C6" s="16">
        <v>46082</v>
      </c>
      <c r="E6" t="s">
        <v>9</v>
      </c>
      <c r="G6" s="17" t="s">
        <v>10</v>
      </c>
      <c r="H6" s="18">
        <f>'Equity Bridge'!C19</f>
        <v>965</v>
      </c>
      <c r="M6" s="10"/>
      <c r="W6" s="8"/>
      <c r="X6" s="8"/>
      <c r="Y6" s="8"/>
      <c r="Z6" s="8"/>
      <c r="AA6" s="8"/>
      <c r="AB6" s="8"/>
      <c r="AC6" s="8"/>
    </row>
    <row r="7" spans="1:29" ht="15.75" customHeight="1" x14ac:dyDescent="0.2">
      <c r="M7" s="10" t="s">
        <v>2</v>
      </c>
      <c r="W7" s="8"/>
      <c r="X7" s="8"/>
      <c r="Y7" s="8"/>
      <c r="Z7" s="8"/>
      <c r="AA7" s="8"/>
      <c r="AB7" s="8"/>
      <c r="AC7" s="8"/>
    </row>
    <row r="8" spans="1:29" ht="15.75" customHeight="1" x14ac:dyDescent="0.2">
      <c r="B8" s="19" t="s">
        <v>11</v>
      </c>
      <c r="C8" s="20">
        <f>WACC!B25</f>
        <v>8.3589999999999998E-2</v>
      </c>
      <c r="D8" s="7"/>
      <c r="E8" s="7"/>
      <c r="F8" s="21">
        <f>AVERAGE(J26:L26)</f>
        <v>2.6098860305142118E-2</v>
      </c>
      <c r="G8" s="22" t="s">
        <v>12</v>
      </c>
      <c r="H8" s="23">
        <f>AVERAGE(J30:L30)</f>
        <v>0.26305206020880595</v>
      </c>
      <c r="M8" s="10"/>
      <c r="W8" s="24"/>
    </row>
    <row r="9" spans="1:29" ht="15.75" customHeight="1" x14ac:dyDescent="0.2">
      <c r="B9" s="19" t="s">
        <v>13</v>
      </c>
      <c r="C9" s="25">
        <v>3.7999999999999999E-2</v>
      </c>
      <c r="D9" s="22" t="s">
        <v>14</v>
      </c>
      <c r="F9" s="26">
        <f>WACC!C14</f>
        <v>0.25</v>
      </c>
      <c r="G9" t="s">
        <v>15</v>
      </c>
      <c r="H9" s="23">
        <f>MIN(E18:L18)</f>
        <v>0.96227587334459641</v>
      </c>
      <c r="M9" s="10"/>
    </row>
    <row r="10" spans="1:29" ht="18" customHeight="1" x14ac:dyDescent="0.2">
      <c r="B10" s="27" t="s">
        <v>16</v>
      </c>
      <c r="C10" s="28">
        <f>10%</f>
        <v>0.1</v>
      </c>
      <c r="D10" s="27" t="s">
        <v>17</v>
      </c>
      <c r="F10" s="29">
        <f>AVERAGE(J35:L35)</f>
        <v>8.8570217537646406E-3</v>
      </c>
      <c r="M10" s="10"/>
    </row>
    <row r="11" spans="1:29" ht="18" hidden="1" customHeight="1" x14ac:dyDescent="0.2">
      <c r="B11" s="19"/>
      <c r="C11" s="30">
        <f>(L18/E18)^(1/8)-1</f>
        <v>-7.8704434155429936E-4</v>
      </c>
      <c r="D11" s="31" t="s">
        <v>18</v>
      </c>
      <c r="E11" s="32">
        <f>AVERAGE(J41:L41)</f>
        <v>-4.9923709728233517E-3</v>
      </c>
      <c r="M11" s="10"/>
    </row>
    <row r="12" spans="1:29" ht="15.75" customHeight="1" outlineLevel="1" x14ac:dyDescent="0.2">
      <c r="C12" s="33" t="s">
        <v>19</v>
      </c>
      <c r="D12" s="33" t="s">
        <v>19</v>
      </c>
      <c r="E12" s="33" t="s">
        <v>19</v>
      </c>
      <c r="F12" s="33" t="s">
        <v>19</v>
      </c>
      <c r="G12" s="33" t="s">
        <v>19</v>
      </c>
      <c r="H12" s="33" t="s">
        <v>19</v>
      </c>
      <c r="I12" s="33" t="s">
        <v>19</v>
      </c>
      <c r="J12" s="33" t="s">
        <v>19</v>
      </c>
      <c r="K12" s="33" t="s">
        <v>19</v>
      </c>
      <c r="L12" s="33" t="s">
        <v>19</v>
      </c>
      <c r="M12" s="34" t="s">
        <v>20</v>
      </c>
      <c r="N12" s="33" t="s">
        <v>20</v>
      </c>
      <c r="O12" s="33" t="s">
        <v>20</v>
      </c>
      <c r="P12" s="34" t="s">
        <v>20</v>
      </c>
      <c r="Q12" s="33" t="s">
        <v>20</v>
      </c>
      <c r="R12" s="33" t="s">
        <v>20</v>
      </c>
      <c r="S12" s="34" t="s">
        <v>20</v>
      </c>
      <c r="T12" s="33" t="s">
        <v>20</v>
      </c>
      <c r="U12" s="33" t="s">
        <v>20</v>
      </c>
      <c r="V12" s="33" t="s">
        <v>20</v>
      </c>
    </row>
    <row r="13" spans="1:29" ht="15.75" customHeight="1" outlineLevel="1" x14ac:dyDescent="0.2">
      <c r="A13" t="s">
        <v>21</v>
      </c>
      <c r="B13" s="35" t="s">
        <v>22</v>
      </c>
      <c r="C13" s="35"/>
      <c r="D13" s="35"/>
      <c r="E13" s="35">
        <v>2018</v>
      </c>
      <c r="F13" s="35">
        <v>2019</v>
      </c>
      <c r="G13" s="35">
        <v>2020</v>
      </c>
      <c r="H13" s="35">
        <v>2021</v>
      </c>
      <c r="I13" s="35">
        <v>2022</v>
      </c>
      <c r="J13" s="35">
        <v>2023</v>
      </c>
      <c r="K13" s="35">
        <v>2024</v>
      </c>
      <c r="L13" s="35">
        <v>2025</v>
      </c>
      <c r="M13" s="36">
        <v>2026</v>
      </c>
      <c r="N13" s="35">
        <v>2027</v>
      </c>
      <c r="O13" s="35">
        <v>2028</v>
      </c>
      <c r="P13" s="36">
        <v>2029</v>
      </c>
      <c r="Q13" s="35">
        <v>2030</v>
      </c>
      <c r="R13" s="36">
        <v>2031</v>
      </c>
      <c r="S13" s="35">
        <v>2032</v>
      </c>
      <c r="T13" s="35">
        <v>2033</v>
      </c>
      <c r="U13" s="36">
        <v>2034</v>
      </c>
      <c r="V13" s="35">
        <v>2035</v>
      </c>
      <c r="AA13" s="37"/>
    </row>
    <row r="14" spans="1:29" ht="15.75" customHeight="1" outlineLevel="1" x14ac:dyDescent="0.2">
      <c r="B14" s="22" t="s">
        <v>23</v>
      </c>
      <c r="C14" s="38"/>
      <c r="D14" s="38"/>
      <c r="E14" s="38">
        <v>141576</v>
      </c>
      <c r="F14" s="38">
        <v>152703</v>
      </c>
      <c r="G14" s="38">
        <f>166761</f>
        <v>166761</v>
      </c>
      <c r="H14" s="38">
        <v>195929</v>
      </c>
      <c r="I14" s="38">
        <v>226954</v>
      </c>
      <c r="J14" s="38">
        <v>242290</v>
      </c>
      <c r="K14" s="38">
        <v>254453</v>
      </c>
      <c r="L14" s="38">
        <v>275235</v>
      </c>
      <c r="M14" s="39">
        <f t="shared" ref="M14:V14" si="0">L14*(1+M15)</f>
        <v>302758.5</v>
      </c>
      <c r="N14" s="40">
        <f t="shared" si="0"/>
        <v>333034.35000000003</v>
      </c>
      <c r="O14" s="40">
        <f t="shared" si="0"/>
        <v>366337.78500000009</v>
      </c>
      <c r="P14" s="40">
        <f t="shared" si="0"/>
        <v>402971.56350000011</v>
      </c>
      <c r="Q14" s="40">
        <f t="shared" si="0"/>
        <v>443268.71985000017</v>
      </c>
      <c r="R14" s="40">
        <f t="shared" si="0"/>
        <v>487595.5918350002</v>
      </c>
      <c r="S14" s="40">
        <f t="shared" si="0"/>
        <v>536355.15101850021</v>
      </c>
      <c r="T14" s="40">
        <f t="shared" si="0"/>
        <v>589990.66612035024</v>
      </c>
      <c r="U14" s="40">
        <f t="shared" si="0"/>
        <v>648989.73273238528</v>
      </c>
      <c r="V14" s="40">
        <f t="shared" si="0"/>
        <v>713888.70600562391</v>
      </c>
      <c r="AA14" s="41"/>
    </row>
    <row r="15" spans="1:29" ht="16.5" customHeight="1" outlineLevel="1" x14ac:dyDescent="0.2">
      <c r="B15" s="42" t="s">
        <v>24</v>
      </c>
      <c r="C15" s="43"/>
      <c r="D15" s="44"/>
      <c r="E15" s="44"/>
      <c r="F15" s="44">
        <f>(F14-E14)/E14</f>
        <v>7.8593829462620779E-2</v>
      </c>
      <c r="G15" s="44">
        <f>(G14-F14)/F14</f>
        <v>9.2061059704131545E-2</v>
      </c>
      <c r="H15" s="44">
        <f>(H14-G14)/G14</f>
        <v>0.1749090015051481</v>
      </c>
      <c r="I15" s="44">
        <f>(I14-H14)/H14</f>
        <v>0.15834817714580282</v>
      </c>
      <c r="J15" s="44">
        <f>(J14/I14)-1</f>
        <v>6.7573164606043568E-2</v>
      </c>
      <c r="K15" s="44">
        <f>(K14/J14)-1</f>
        <v>5.0200173345990251E-2</v>
      </c>
      <c r="L15" s="44">
        <f>(L14-K14)/K14</f>
        <v>8.1673236314761463E-2</v>
      </c>
      <c r="M15" s="45">
        <f t="shared" ref="M15:V15" si="1">$C$10</f>
        <v>0.1</v>
      </c>
      <c r="N15" s="45">
        <f t="shared" si="1"/>
        <v>0.1</v>
      </c>
      <c r="O15" s="45">
        <f t="shared" si="1"/>
        <v>0.1</v>
      </c>
      <c r="P15" s="45">
        <f t="shared" si="1"/>
        <v>0.1</v>
      </c>
      <c r="Q15" s="45">
        <f t="shared" si="1"/>
        <v>0.1</v>
      </c>
      <c r="R15" s="45">
        <f t="shared" si="1"/>
        <v>0.1</v>
      </c>
      <c r="S15" s="45">
        <f t="shared" si="1"/>
        <v>0.1</v>
      </c>
      <c r="T15" s="45">
        <f t="shared" si="1"/>
        <v>0.1</v>
      </c>
      <c r="U15" s="45">
        <f t="shared" si="1"/>
        <v>0.1</v>
      </c>
      <c r="V15" s="45">
        <f t="shared" si="1"/>
        <v>0.1</v>
      </c>
      <c r="AA15" s="154"/>
      <c r="AB15" s="155"/>
    </row>
    <row r="16" spans="1:29" ht="16.5" customHeight="1" outlineLevel="1" x14ac:dyDescent="0.2"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  <c r="N16" s="38"/>
      <c r="O16" s="38"/>
      <c r="AA16" s="156"/>
      <c r="AB16" s="155"/>
    </row>
    <row r="17" spans="2:28" ht="15.75" customHeight="1" outlineLevel="1" x14ac:dyDescent="0.2">
      <c r="B17" s="49" t="s">
        <v>25</v>
      </c>
      <c r="C17" s="50"/>
      <c r="D17" s="50"/>
      <c r="E17" s="51">
        <f>123152+E19</f>
        <v>137096</v>
      </c>
      <c r="F17" s="51">
        <f>132886+F19</f>
        <v>147966</v>
      </c>
      <c r="G17" s="51">
        <f>144939+G19</f>
        <v>161326</v>
      </c>
      <c r="H17" s="51">
        <f>170684+H19</f>
        <v>189137</v>
      </c>
      <c r="I17" s="51">
        <f>199382+I19</f>
        <v>219043</v>
      </c>
      <c r="J17" s="51">
        <f>212195+J19</f>
        <v>233785</v>
      </c>
      <c r="K17" s="51">
        <f>222358+K19</f>
        <v>245168</v>
      </c>
      <c r="L17" s="51">
        <f>239886+L19</f>
        <v>264852</v>
      </c>
      <c r="M17" s="52">
        <f t="shared" ref="M17:V17" si="2">M14*M18</f>
        <v>291034.44150000002</v>
      </c>
      <c r="N17" s="52">
        <f t="shared" si="2"/>
        <v>319804.85130000004</v>
      </c>
      <c r="O17" s="52">
        <f t="shared" si="2"/>
        <v>351418.9986450001</v>
      </c>
      <c r="P17" s="52">
        <f t="shared" si="2"/>
        <v>386157.92694600008</v>
      </c>
      <c r="Q17" s="52">
        <f t="shared" si="2"/>
        <v>424330.45092075015</v>
      </c>
      <c r="R17" s="52">
        <f t="shared" si="2"/>
        <v>466275.90042099019</v>
      </c>
      <c r="S17" s="52">
        <f t="shared" si="2"/>
        <v>512367.13531207066</v>
      </c>
      <c r="T17" s="52">
        <f t="shared" si="2"/>
        <v>563013.85817715747</v>
      </c>
      <c r="U17" s="52">
        <f t="shared" si="2"/>
        <v>618666.25426214084</v>
      </c>
      <c r="V17" s="52">
        <f t="shared" si="2"/>
        <v>679818.99098234938</v>
      </c>
      <c r="AA17" s="157"/>
      <c r="AB17" s="155"/>
    </row>
    <row r="18" spans="2:28" ht="15.75" customHeight="1" outlineLevel="2" x14ac:dyDescent="0.2">
      <c r="B18" s="53" t="s">
        <v>26</v>
      </c>
      <c r="C18" s="54"/>
      <c r="D18" s="54"/>
      <c r="E18" s="55">
        <f t="shared" ref="E18:L18" si="3">(E17/E14)</f>
        <v>0.96835621856811893</v>
      </c>
      <c r="F18" s="55">
        <f t="shared" si="3"/>
        <v>0.96897899844796764</v>
      </c>
      <c r="G18" s="55">
        <f t="shared" si="3"/>
        <v>0.96740844681910043</v>
      </c>
      <c r="H18" s="55">
        <f t="shared" si="3"/>
        <v>0.9653343813320131</v>
      </c>
      <c r="I18" s="55">
        <f t="shared" si="3"/>
        <v>0.96514271614512193</v>
      </c>
      <c r="J18" s="55">
        <f t="shared" si="3"/>
        <v>0.96489743695571417</v>
      </c>
      <c r="K18" s="55">
        <f t="shared" si="3"/>
        <v>0.96350996058211147</v>
      </c>
      <c r="L18" s="55">
        <f t="shared" si="3"/>
        <v>0.96227587334459641</v>
      </c>
      <c r="M18" s="56">
        <f t="shared" ref="M18:V18" si="4">L18-0.1%</f>
        <v>0.96127587334459641</v>
      </c>
      <c r="N18" s="56">
        <f t="shared" si="4"/>
        <v>0.96027587334459641</v>
      </c>
      <c r="O18" s="56">
        <f t="shared" si="4"/>
        <v>0.95927587334459641</v>
      </c>
      <c r="P18" s="56">
        <f t="shared" si="4"/>
        <v>0.95827587334459641</v>
      </c>
      <c r="Q18" s="56">
        <f t="shared" si="4"/>
        <v>0.95727587334459641</v>
      </c>
      <c r="R18" s="56">
        <f t="shared" si="4"/>
        <v>0.95627587334459641</v>
      </c>
      <c r="S18" s="56">
        <f t="shared" si="4"/>
        <v>0.9552758733445964</v>
      </c>
      <c r="T18" s="56">
        <f t="shared" si="4"/>
        <v>0.9542758733445964</v>
      </c>
      <c r="U18" s="56">
        <f t="shared" si="4"/>
        <v>0.9532758733445964</v>
      </c>
      <c r="V18" s="56">
        <f t="shared" si="4"/>
        <v>0.9522758733445964</v>
      </c>
      <c r="AA18" s="158"/>
      <c r="AB18" s="155"/>
    </row>
    <row r="19" spans="2:28" ht="15.75" customHeight="1" outlineLevel="2" x14ac:dyDescent="0.2">
      <c r="B19" s="58" t="s">
        <v>27</v>
      </c>
      <c r="C19" s="59" t="s">
        <v>28</v>
      </c>
      <c r="E19">
        <v>13944</v>
      </c>
      <c r="F19">
        <v>15080</v>
      </c>
      <c r="G19">
        <v>16387</v>
      </c>
      <c r="H19">
        <v>18453</v>
      </c>
      <c r="I19">
        <v>19661</v>
      </c>
      <c r="J19">
        <v>21590</v>
      </c>
      <c r="K19">
        <v>22810</v>
      </c>
      <c r="L19">
        <v>24966</v>
      </c>
      <c r="N19" s="60"/>
      <c r="O19" s="60"/>
      <c r="AA19" s="155"/>
      <c r="AB19" s="155"/>
    </row>
    <row r="20" spans="2:28" ht="15.75" customHeight="1" outlineLevel="2" x14ac:dyDescent="0.2">
      <c r="B20" s="22" t="s">
        <v>29</v>
      </c>
      <c r="C20" s="38"/>
      <c r="D20" s="38"/>
      <c r="E20" s="38">
        <f t="shared" ref="E20:V20" si="5">E14-E17</f>
        <v>4480</v>
      </c>
      <c r="F20" s="38">
        <f t="shared" si="5"/>
        <v>4737</v>
      </c>
      <c r="G20" s="38">
        <f t="shared" si="5"/>
        <v>5435</v>
      </c>
      <c r="H20" s="38">
        <f t="shared" si="5"/>
        <v>6792</v>
      </c>
      <c r="I20" s="38">
        <f t="shared" si="5"/>
        <v>7911</v>
      </c>
      <c r="J20" s="38">
        <f t="shared" si="5"/>
        <v>8505</v>
      </c>
      <c r="K20" s="38">
        <f t="shared" si="5"/>
        <v>9285</v>
      </c>
      <c r="L20" s="38">
        <f t="shared" si="5"/>
        <v>10383</v>
      </c>
      <c r="M20" s="52">
        <f t="shared" si="5"/>
        <v>11724.058499999985</v>
      </c>
      <c r="N20" s="40">
        <f t="shared" si="5"/>
        <v>13229.498699999996</v>
      </c>
      <c r="O20" s="40">
        <f t="shared" si="5"/>
        <v>14918.786354999989</v>
      </c>
      <c r="P20" s="40">
        <f t="shared" si="5"/>
        <v>16813.636554000026</v>
      </c>
      <c r="Q20" s="40">
        <f t="shared" si="5"/>
        <v>18938.268929250014</v>
      </c>
      <c r="R20" s="40">
        <f t="shared" si="5"/>
        <v>21319.691414010013</v>
      </c>
      <c r="S20" s="40">
        <f t="shared" si="5"/>
        <v>23988.015706429549</v>
      </c>
      <c r="T20" s="40">
        <f t="shared" si="5"/>
        <v>26976.807943192776</v>
      </c>
      <c r="U20" s="40">
        <f t="shared" si="5"/>
        <v>30323.478470244445</v>
      </c>
      <c r="V20" s="40">
        <f t="shared" si="5"/>
        <v>34069.715023274533</v>
      </c>
      <c r="AA20" s="155"/>
      <c r="AB20" s="155"/>
    </row>
    <row r="21" spans="2:28" ht="15.75" customHeight="1" x14ac:dyDescent="0.2">
      <c r="B21" s="42" t="s">
        <v>30</v>
      </c>
      <c r="C21" s="44"/>
      <c r="D21" s="44"/>
      <c r="E21" s="61">
        <f t="shared" ref="E21:V21" si="6">E20/E14</f>
        <v>3.164378143188111E-2</v>
      </c>
      <c r="F21" s="61">
        <f t="shared" si="6"/>
        <v>3.1021001552032378E-2</v>
      </c>
      <c r="G21" s="61">
        <f t="shared" si="6"/>
        <v>3.259155318089961E-2</v>
      </c>
      <c r="H21" s="61">
        <f t="shared" si="6"/>
        <v>3.4665618667986869E-2</v>
      </c>
      <c r="I21" s="61">
        <f t="shared" si="6"/>
        <v>3.4857283854878081E-2</v>
      </c>
      <c r="J21" s="61">
        <f t="shared" si="6"/>
        <v>3.5102563044285773E-2</v>
      </c>
      <c r="K21" s="61">
        <f t="shared" si="6"/>
        <v>3.6490039417888566E-2</v>
      </c>
      <c r="L21" s="61">
        <f t="shared" si="6"/>
        <v>3.7724126655403561E-2</v>
      </c>
      <c r="M21" s="62">
        <f t="shared" si="6"/>
        <v>3.8724126655403514E-2</v>
      </c>
      <c r="N21" s="62">
        <f t="shared" si="6"/>
        <v>3.9724126655403549E-2</v>
      </c>
      <c r="O21" s="62">
        <f t="shared" si="6"/>
        <v>4.0724126655403523E-2</v>
      </c>
      <c r="P21" s="62">
        <f t="shared" si="6"/>
        <v>4.1724126655403621E-2</v>
      </c>
      <c r="Q21" s="62">
        <f t="shared" si="6"/>
        <v>4.272412665540358E-2</v>
      </c>
      <c r="R21" s="62">
        <f t="shared" si="6"/>
        <v>4.3724126655403574E-2</v>
      </c>
      <c r="S21" s="62">
        <f t="shared" si="6"/>
        <v>4.4724126655403637E-2</v>
      </c>
      <c r="T21" s="62">
        <f t="shared" si="6"/>
        <v>4.5724126655403506E-2</v>
      </c>
      <c r="U21" s="62">
        <f t="shared" si="6"/>
        <v>4.6724126655403514E-2</v>
      </c>
      <c r="V21" s="62">
        <f t="shared" si="6"/>
        <v>4.7724126655403536E-2</v>
      </c>
      <c r="AA21" s="155"/>
      <c r="AB21" s="155"/>
    </row>
    <row r="22" spans="2:28" ht="16.5" hidden="1" customHeight="1" outlineLevel="2" x14ac:dyDescent="0.2">
      <c r="B22" s="63" t="s">
        <v>31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8">
        <v>1327</v>
      </c>
      <c r="N22" s="64">
        <v>1444.7</v>
      </c>
      <c r="O22" s="64">
        <v>0</v>
      </c>
      <c r="Q22" s="50"/>
    </row>
    <row r="23" spans="2:28" ht="16.5" hidden="1" customHeight="1" outlineLevel="2" x14ac:dyDescent="0.2">
      <c r="B23" s="65" t="s">
        <v>30</v>
      </c>
      <c r="C23" s="66"/>
      <c r="D23" s="66"/>
      <c r="E23" s="21">
        <f t="shared" ref="E23:V23" si="7">E22/E14</f>
        <v>0</v>
      </c>
      <c r="F23" s="21">
        <f t="shared" si="7"/>
        <v>0</v>
      </c>
      <c r="G23" s="21">
        <f t="shared" si="7"/>
        <v>0</v>
      </c>
      <c r="H23" s="21">
        <f t="shared" si="7"/>
        <v>0</v>
      </c>
      <c r="I23" s="21">
        <f t="shared" si="7"/>
        <v>0</v>
      </c>
      <c r="J23" s="21">
        <f t="shared" si="7"/>
        <v>0</v>
      </c>
      <c r="K23" s="21">
        <f t="shared" si="7"/>
        <v>0</v>
      </c>
      <c r="L23" s="21">
        <f t="shared" si="7"/>
        <v>0</v>
      </c>
      <c r="M23" s="67">
        <f t="shared" si="7"/>
        <v>4.3830313599783326E-3</v>
      </c>
      <c r="N23" s="68">
        <f t="shared" si="7"/>
        <v>4.3379909609924617E-3</v>
      </c>
      <c r="O23" s="68">
        <f t="shared" si="7"/>
        <v>0</v>
      </c>
      <c r="P23" s="69">
        <f t="shared" si="7"/>
        <v>0</v>
      </c>
      <c r="Q23" s="69">
        <f t="shared" si="7"/>
        <v>0</v>
      </c>
      <c r="R23" s="69">
        <f t="shared" si="7"/>
        <v>0</v>
      </c>
      <c r="S23" s="69">
        <f t="shared" si="7"/>
        <v>0</v>
      </c>
      <c r="T23" s="69">
        <f t="shared" si="7"/>
        <v>0</v>
      </c>
      <c r="U23" s="69">
        <f t="shared" si="7"/>
        <v>0</v>
      </c>
      <c r="V23" s="69">
        <f t="shared" si="7"/>
        <v>0</v>
      </c>
    </row>
    <row r="24" spans="2:28" ht="15.75" customHeight="1" outlineLevel="1" collapsed="1" x14ac:dyDescent="0.2">
      <c r="B24" s="19" t="s">
        <v>32</v>
      </c>
      <c r="C24" s="47"/>
      <c r="D24" s="47"/>
      <c r="E24" s="70"/>
      <c r="F24" s="70"/>
      <c r="G24" s="70"/>
      <c r="H24" s="70"/>
      <c r="I24" s="70"/>
      <c r="J24" s="70">
        <v>-160</v>
      </c>
      <c r="K24" s="70">
        <v>-169</v>
      </c>
      <c r="L24" s="70">
        <f>-154</f>
        <v>-154</v>
      </c>
      <c r="M24" s="71">
        <f t="shared" ref="M24:V24" si="8">-(M25*M26)</f>
        <v>-152.49564076294538</v>
      </c>
      <c r="N24" s="71">
        <f t="shared" si="8"/>
        <v>-152.49564076294538</v>
      </c>
      <c r="O24" s="71">
        <f t="shared" si="8"/>
        <v>-152.49564076294538</v>
      </c>
      <c r="P24" s="71">
        <f t="shared" si="8"/>
        <v>-152.49564076294538</v>
      </c>
      <c r="Q24" s="71">
        <f t="shared" si="8"/>
        <v>-152.49564076294538</v>
      </c>
      <c r="R24" s="71">
        <f t="shared" si="8"/>
        <v>-152.49564076294538</v>
      </c>
      <c r="S24" s="71">
        <f t="shared" si="8"/>
        <v>-152.49564076294538</v>
      </c>
      <c r="T24" s="71">
        <f t="shared" si="8"/>
        <v>-152.49564076294538</v>
      </c>
      <c r="U24" s="71">
        <f t="shared" si="8"/>
        <v>-152.49564076294538</v>
      </c>
      <c r="V24" s="71">
        <f t="shared" si="8"/>
        <v>-152.49564076294538</v>
      </c>
    </row>
    <row r="25" spans="2:28" ht="15.75" customHeight="1" outlineLevel="1" x14ac:dyDescent="0.2">
      <c r="B25" s="19" t="s">
        <v>33</v>
      </c>
      <c r="I25" s="72"/>
      <c r="J25">
        <v>6508</v>
      </c>
      <c r="K25">
        <v>6178</v>
      </c>
      <c r="L25">
        <v>5843</v>
      </c>
      <c r="M25" s="73">
        <f t="shared" ref="M25:V25" si="9">L25</f>
        <v>5843</v>
      </c>
      <c r="N25" s="73">
        <f t="shared" si="9"/>
        <v>5843</v>
      </c>
      <c r="O25" s="73">
        <f t="shared" si="9"/>
        <v>5843</v>
      </c>
      <c r="P25" s="73">
        <f t="shared" si="9"/>
        <v>5843</v>
      </c>
      <c r="Q25" s="73">
        <f t="shared" si="9"/>
        <v>5843</v>
      </c>
      <c r="R25" s="73">
        <f t="shared" si="9"/>
        <v>5843</v>
      </c>
      <c r="S25" s="73">
        <f t="shared" si="9"/>
        <v>5843</v>
      </c>
      <c r="T25" s="73">
        <f t="shared" si="9"/>
        <v>5843</v>
      </c>
      <c r="U25" s="73">
        <f t="shared" si="9"/>
        <v>5843</v>
      </c>
      <c r="V25" s="73">
        <f t="shared" si="9"/>
        <v>5843</v>
      </c>
    </row>
    <row r="26" spans="2:28" ht="15.75" customHeight="1" outlineLevel="1" x14ac:dyDescent="0.2">
      <c r="B26" s="74" t="s">
        <v>34</v>
      </c>
      <c r="C26" s="66"/>
      <c r="D26" s="66"/>
      <c r="E26" s="66"/>
      <c r="F26" s="66"/>
      <c r="G26" s="66"/>
      <c r="H26" s="66"/>
      <c r="I26" s="34"/>
      <c r="J26" s="21">
        <f>-J24/J25</f>
        <v>2.4585125998770743E-2</v>
      </c>
      <c r="K26" s="21">
        <f>-K24/K25</f>
        <v>2.7355131110391711E-2</v>
      </c>
      <c r="L26" s="21">
        <f>-L24/L25</f>
        <v>2.6356323806263904E-2</v>
      </c>
      <c r="M26" s="21">
        <f t="shared" ref="M26:V26" si="10">$F$8</f>
        <v>2.6098860305142118E-2</v>
      </c>
      <c r="N26" s="21">
        <f t="shared" si="10"/>
        <v>2.6098860305142118E-2</v>
      </c>
      <c r="O26" s="21">
        <f t="shared" si="10"/>
        <v>2.6098860305142118E-2</v>
      </c>
      <c r="P26" s="21">
        <f t="shared" si="10"/>
        <v>2.6098860305142118E-2</v>
      </c>
      <c r="Q26" s="21">
        <f t="shared" si="10"/>
        <v>2.6098860305142118E-2</v>
      </c>
      <c r="R26" s="21">
        <f t="shared" si="10"/>
        <v>2.6098860305142118E-2</v>
      </c>
      <c r="S26" s="21">
        <f t="shared" si="10"/>
        <v>2.6098860305142118E-2</v>
      </c>
      <c r="T26" s="21">
        <f t="shared" si="10"/>
        <v>2.6098860305142118E-2</v>
      </c>
      <c r="U26" s="21">
        <f t="shared" si="10"/>
        <v>2.6098860305142118E-2</v>
      </c>
      <c r="V26" s="21">
        <f t="shared" si="10"/>
        <v>2.6098860305142118E-2</v>
      </c>
    </row>
    <row r="27" spans="2:28" ht="15.75" customHeight="1" outlineLevel="1" x14ac:dyDescent="0.2">
      <c r="B27" s="75" t="s">
        <v>35</v>
      </c>
      <c r="C27" s="76"/>
      <c r="D27" s="76"/>
      <c r="E27" s="76"/>
      <c r="F27" s="76"/>
      <c r="G27" s="76"/>
      <c r="H27" s="76"/>
      <c r="I27" s="77"/>
      <c r="J27" s="78">
        <f t="shared" ref="J27:V27" si="11">J20+J22+J24</f>
        <v>8345</v>
      </c>
      <c r="K27" s="78">
        <f t="shared" si="11"/>
        <v>9116</v>
      </c>
      <c r="L27" s="78">
        <f t="shared" si="11"/>
        <v>10229</v>
      </c>
      <c r="M27" s="78">
        <f t="shared" si="11"/>
        <v>12898.562859237039</v>
      </c>
      <c r="N27" s="78">
        <f t="shared" si="11"/>
        <v>14521.703059237052</v>
      </c>
      <c r="O27" s="78">
        <f t="shared" si="11"/>
        <v>14766.290714237044</v>
      </c>
      <c r="P27" s="78">
        <f t="shared" si="11"/>
        <v>16661.140913237079</v>
      </c>
      <c r="Q27" s="78">
        <f t="shared" si="11"/>
        <v>18785.773288487067</v>
      </c>
      <c r="R27" s="78">
        <f t="shared" si="11"/>
        <v>21167.195773247066</v>
      </c>
      <c r="S27" s="78">
        <f t="shared" si="11"/>
        <v>23835.520065666602</v>
      </c>
      <c r="T27" s="78">
        <f t="shared" si="11"/>
        <v>26824.312302429829</v>
      </c>
      <c r="U27" s="78">
        <f t="shared" si="11"/>
        <v>30170.982829481498</v>
      </c>
      <c r="V27" s="78">
        <f t="shared" si="11"/>
        <v>33917.21938251159</v>
      </c>
    </row>
    <row r="28" spans="2:28" ht="16.5" customHeight="1" x14ac:dyDescent="0.2">
      <c r="M28" s="79"/>
      <c r="N28" s="23"/>
      <c r="O28" s="23"/>
      <c r="Q28" s="57"/>
    </row>
    <row r="29" spans="2:28" ht="15.75" customHeight="1" outlineLevel="1" x14ac:dyDescent="0.2">
      <c r="B29" s="74" t="s">
        <v>36</v>
      </c>
      <c r="C29" s="66"/>
      <c r="D29" s="66"/>
      <c r="E29" s="66"/>
      <c r="F29" s="66"/>
      <c r="G29" s="66"/>
      <c r="H29" s="66"/>
      <c r="I29" s="34"/>
      <c r="J29" s="70">
        <f>2195</f>
        <v>2195</v>
      </c>
      <c r="K29" s="70">
        <v>2373</v>
      </c>
      <c r="L29" s="70">
        <v>2719</v>
      </c>
      <c r="M29" s="80">
        <f t="shared" ref="M29:V29" si="12">$F$9*M27</f>
        <v>3224.6407148092599</v>
      </c>
      <c r="N29" s="80">
        <f t="shared" si="12"/>
        <v>3630.425764809263</v>
      </c>
      <c r="O29" s="80">
        <f t="shared" si="12"/>
        <v>3691.572678559261</v>
      </c>
      <c r="P29" s="80">
        <f t="shared" si="12"/>
        <v>4165.2852283092698</v>
      </c>
      <c r="Q29" s="80">
        <f t="shared" si="12"/>
        <v>4696.4433221217669</v>
      </c>
      <c r="R29" s="80">
        <f t="shared" si="12"/>
        <v>5291.7989433117664</v>
      </c>
      <c r="S29" s="80">
        <f t="shared" si="12"/>
        <v>5958.8800164166505</v>
      </c>
      <c r="T29" s="80">
        <f t="shared" si="12"/>
        <v>6706.0780756074573</v>
      </c>
      <c r="U29" s="80">
        <f t="shared" si="12"/>
        <v>7542.7457073703745</v>
      </c>
      <c r="V29" s="80">
        <f t="shared" si="12"/>
        <v>8479.3048456278975</v>
      </c>
    </row>
    <row r="30" spans="2:28" ht="15.75" customHeight="1" outlineLevel="1" x14ac:dyDescent="0.2">
      <c r="B30" s="75" t="s">
        <v>37</v>
      </c>
      <c r="C30" s="76"/>
      <c r="D30" s="76"/>
      <c r="E30" s="76"/>
      <c r="F30" s="76"/>
      <c r="G30" s="76"/>
      <c r="H30" s="76"/>
      <c r="I30" s="77"/>
      <c r="J30" s="81">
        <f>J29/J27</f>
        <v>0.26303175554224084</v>
      </c>
      <c r="K30" s="81">
        <f>K29/K27</f>
        <v>0.26031154014918823</v>
      </c>
      <c r="L30" s="81">
        <f>L29/L27</f>
        <v>0.26581288493498878</v>
      </c>
      <c r="M30" s="82">
        <f t="shared" ref="M30:V30" si="13">$F$9</f>
        <v>0.25</v>
      </c>
      <c r="N30" s="82">
        <f t="shared" si="13"/>
        <v>0.25</v>
      </c>
      <c r="O30" s="82">
        <f t="shared" si="13"/>
        <v>0.25</v>
      </c>
      <c r="P30" s="82">
        <f t="shared" si="13"/>
        <v>0.25</v>
      </c>
      <c r="Q30" s="82">
        <f t="shared" si="13"/>
        <v>0.25</v>
      </c>
      <c r="R30" s="82">
        <f t="shared" si="13"/>
        <v>0.25</v>
      </c>
      <c r="S30" s="82">
        <f t="shared" si="13"/>
        <v>0.25</v>
      </c>
      <c r="T30" s="82">
        <f t="shared" si="13"/>
        <v>0.25</v>
      </c>
      <c r="U30" s="82">
        <f t="shared" si="13"/>
        <v>0.25</v>
      </c>
      <c r="V30" s="82">
        <f t="shared" si="13"/>
        <v>0.25</v>
      </c>
    </row>
    <row r="31" spans="2:28" s="43" customFormat="1" ht="16.5" customHeight="1" outlineLevel="1" x14ac:dyDescent="0.2">
      <c r="B31" s="83"/>
      <c r="C31" s="66"/>
      <c r="D31" s="66"/>
      <c r="E31" s="66"/>
      <c r="F31" s="66"/>
      <c r="G31" s="66"/>
      <c r="H31" s="66"/>
      <c r="I31" s="34"/>
      <c r="J31" s="34"/>
      <c r="K31" s="66"/>
      <c r="L31" s="66"/>
      <c r="M31" s="79"/>
      <c r="N31" s="23"/>
      <c r="O31" s="23"/>
      <c r="Q31" s="57"/>
    </row>
    <row r="32" spans="2:28" ht="16.5" customHeight="1" outlineLevel="1" x14ac:dyDescent="0.2">
      <c r="B32" s="83"/>
      <c r="C32" s="66"/>
      <c r="D32" s="66"/>
      <c r="E32" s="66"/>
      <c r="F32" s="66"/>
      <c r="G32" s="66"/>
      <c r="H32" s="66"/>
      <c r="I32" s="34"/>
      <c r="J32" s="66"/>
      <c r="K32" s="66"/>
      <c r="L32" s="66"/>
      <c r="M32" s="79"/>
      <c r="N32" s="23"/>
      <c r="O32" s="23"/>
      <c r="Q32" s="57"/>
    </row>
    <row r="33" spans="1:22" ht="15.75" customHeight="1" outlineLevel="1" x14ac:dyDescent="0.2">
      <c r="A33" t="s">
        <v>21</v>
      </c>
      <c r="B33" s="35" t="s">
        <v>38</v>
      </c>
      <c r="C33" s="35"/>
      <c r="D33" s="35"/>
      <c r="E33" s="35">
        <v>2018</v>
      </c>
      <c r="F33" s="35">
        <v>2019</v>
      </c>
      <c r="G33" s="35">
        <v>2020</v>
      </c>
      <c r="H33" s="35">
        <v>2021</v>
      </c>
      <c r="I33" s="35">
        <v>2022</v>
      </c>
      <c r="J33" s="35">
        <v>2023</v>
      </c>
      <c r="K33" s="35">
        <v>2024</v>
      </c>
      <c r="L33" s="35">
        <v>2025</v>
      </c>
      <c r="M33" s="84">
        <f t="shared" ref="M33:V33" si="14">L37+1</f>
        <v>5499</v>
      </c>
      <c r="N33" s="35">
        <f t="shared" si="14"/>
        <v>5753.4115000000002</v>
      </c>
      <c r="O33" s="35">
        <f t="shared" si="14"/>
        <v>6328.6526500000009</v>
      </c>
      <c r="P33" s="35">
        <f t="shared" si="14"/>
        <v>6961.4179150000018</v>
      </c>
      <c r="Q33" s="35">
        <f t="shared" si="14"/>
        <v>7657.4597065000016</v>
      </c>
      <c r="R33" s="35">
        <f t="shared" si="14"/>
        <v>8423.1056771500025</v>
      </c>
      <c r="S33" s="35">
        <f t="shared" si="14"/>
        <v>9265.3162448650037</v>
      </c>
      <c r="T33" s="35">
        <f t="shared" si="14"/>
        <v>10191.747869351504</v>
      </c>
      <c r="U33" s="35">
        <f t="shared" si="14"/>
        <v>11210.822656286655</v>
      </c>
      <c r="V33" s="35">
        <f t="shared" si="14"/>
        <v>12331.80492191532</v>
      </c>
    </row>
    <row r="34" spans="1:22" s="43" customFormat="1" ht="16.5" customHeight="1" outlineLevel="1" x14ac:dyDescent="0.2">
      <c r="B34" s="19" t="s">
        <v>17</v>
      </c>
      <c r="C34" s="85"/>
      <c r="D34" s="85"/>
      <c r="E34" s="85"/>
      <c r="F34" s="85"/>
      <c r="G34" s="85"/>
      <c r="H34" s="85"/>
      <c r="I34" s="85"/>
      <c r="J34" s="85">
        <v>2077</v>
      </c>
      <c r="K34" s="85">
        <v>2337</v>
      </c>
      <c r="L34" s="85">
        <v>2426</v>
      </c>
      <c r="M34" s="80">
        <f t="shared" ref="M34:V34" si="15">M35*M14</f>
        <v>2681.5386206371518</v>
      </c>
      <c r="N34" s="86">
        <f t="shared" si="15"/>
        <v>2949.6924827008675</v>
      </c>
      <c r="O34" s="86">
        <f t="shared" si="15"/>
        <v>3244.6617309709545</v>
      </c>
      <c r="P34" s="86">
        <f t="shared" si="15"/>
        <v>3569.1279040680502</v>
      </c>
      <c r="Q34" s="86">
        <f t="shared" si="15"/>
        <v>3926.0406944748556</v>
      </c>
      <c r="R34" s="86">
        <f t="shared" si="15"/>
        <v>4318.6447639223416</v>
      </c>
      <c r="S34" s="86">
        <f t="shared" si="15"/>
        <v>4750.5092403145754</v>
      </c>
      <c r="T34" s="86">
        <f t="shared" si="15"/>
        <v>5225.5601643460332</v>
      </c>
      <c r="U34" s="86">
        <f t="shared" si="15"/>
        <v>5748.1161807806366</v>
      </c>
      <c r="V34" s="86">
        <f t="shared" si="15"/>
        <v>6322.927798858701</v>
      </c>
    </row>
    <row r="35" spans="1:22" ht="16.5" customHeight="1" outlineLevel="1" x14ac:dyDescent="0.2">
      <c r="B35" s="83" t="s">
        <v>30</v>
      </c>
      <c r="C35" s="87"/>
      <c r="D35" s="87"/>
      <c r="E35" s="87"/>
      <c r="F35" s="87"/>
      <c r="G35" s="87"/>
      <c r="H35" s="87"/>
      <c r="I35" s="87"/>
      <c r="J35" s="88">
        <f>J34/J14</f>
        <v>8.5723719509678484E-3</v>
      </c>
      <c r="K35" s="88">
        <f>K34/K14</f>
        <v>9.1844073365218732E-3</v>
      </c>
      <c r="L35" s="88">
        <f>L34/L14</f>
        <v>8.8142859738042038E-3</v>
      </c>
      <c r="M35" s="89">
        <f t="shared" ref="M35:V35" si="16">$F$10</f>
        <v>8.8570217537646406E-3</v>
      </c>
      <c r="N35" s="89">
        <f t="shared" si="16"/>
        <v>8.8570217537646406E-3</v>
      </c>
      <c r="O35" s="90">
        <f t="shared" si="16"/>
        <v>8.8570217537646406E-3</v>
      </c>
      <c r="P35" s="89">
        <f t="shared" si="16"/>
        <v>8.8570217537646406E-3</v>
      </c>
      <c r="Q35" s="89">
        <f t="shared" si="16"/>
        <v>8.8570217537646406E-3</v>
      </c>
      <c r="R35" s="89">
        <f t="shared" si="16"/>
        <v>8.8570217537646406E-3</v>
      </c>
      <c r="S35" s="89">
        <f t="shared" si="16"/>
        <v>8.8570217537646406E-3</v>
      </c>
      <c r="T35" s="89">
        <f t="shared" si="16"/>
        <v>8.8570217537646406E-3</v>
      </c>
      <c r="U35" s="89">
        <f t="shared" si="16"/>
        <v>8.8570217537646406E-3</v>
      </c>
      <c r="V35" s="89">
        <f t="shared" si="16"/>
        <v>8.8570217537646406E-3</v>
      </c>
    </row>
    <row r="36" spans="1:22" ht="15.75" customHeight="1" outlineLevel="1" x14ac:dyDescent="0.2">
      <c r="Q36" s="50"/>
    </row>
    <row r="37" spans="1:22" ht="15.75" customHeight="1" outlineLevel="1" x14ac:dyDescent="0.2">
      <c r="B37" t="s">
        <v>39</v>
      </c>
      <c r="C37" s="85"/>
      <c r="D37" s="85"/>
      <c r="E37" s="85"/>
      <c r="F37" s="85"/>
      <c r="G37" s="85"/>
      <c r="H37" s="85"/>
      <c r="I37" s="85"/>
      <c r="J37" s="85">
        <v>4323</v>
      </c>
      <c r="K37" s="85">
        <v>4710</v>
      </c>
      <c r="L37" s="85">
        <v>5498</v>
      </c>
      <c r="M37" s="86">
        <f t="shared" ref="M37:V37" si="17">M38*M14</f>
        <v>5752.4115000000002</v>
      </c>
      <c r="N37" s="86">
        <f t="shared" si="17"/>
        <v>6327.6526500000009</v>
      </c>
      <c r="O37" s="86">
        <f t="shared" si="17"/>
        <v>6960.4179150000018</v>
      </c>
      <c r="P37" s="86">
        <f t="shared" si="17"/>
        <v>7656.4597065000016</v>
      </c>
      <c r="Q37" s="86">
        <f t="shared" si="17"/>
        <v>8422.1056771500025</v>
      </c>
      <c r="R37" s="86">
        <f t="shared" si="17"/>
        <v>9264.3162448650037</v>
      </c>
      <c r="S37" s="86">
        <f t="shared" si="17"/>
        <v>10190.747869351504</v>
      </c>
      <c r="T37" s="86">
        <f t="shared" si="17"/>
        <v>11209.822656286655</v>
      </c>
      <c r="U37" s="86">
        <f t="shared" si="17"/>
        <v>12330.80492191532</v>
      </c>
      <c r="V37" s="86">
        <f t="shared" si="17"/>
        <v>13563.885414106853</v>
      </c>
    </row>
    <row r="38" spans="1:22" ht="15.75" customHeight="1" outlineLevel="1" x14ac:dyDescent="0.2">
      <c r="B38" s="83" t="s">
        <v>30</v>
      </c>
      <c r="C38" s="87"/>
      <c r="D38" s="87"/>
      <c r="E38" s="87"/>
      <c r="F38" s="87"/>
      <c r="G38" s="87"/>
      <c r="H38" s="87"/>
      <c r="I38" s="87"/>
      <c r="J38" s="88">
        <f>J37/J14</f>
        <v>1.7842255148788642E-2</v>
      </c>
      <c r="K38" s="88">
        <f>K37/K14</f>
        <v>1.8510294632014555E-2</v>
      </c>
      <c r="L38" s="88">
        <f>L37/L14</f>
        <v>1.9975657165694771E-2</v>
      </c>
      <c r="M38" s="89">
        <v>1.9E-2</v>
      </c>
      <c r="N38" s="89">
        <v>1.9E-2</v>
      </c>
      <c r="O38" s="89">
        <v>1.9E-2</v>
      </c>
      <c r="P38" s="89">
        <v>1.9E-2</v>
      </c>
      <c r="Q38" s="89">
        <v>1.9E-2</v>
      </c>
      <c r="R38" s="89">
        <v>1.9E-2</v>
      </c>
      <c r="S38" s="89">
        <v>1.9E-2</v>
      </c>
      <c r="T38" s="89">
        <v>1.9E-2</v>
      </c>
      <c r="U38" s="89">
        <v>1.9E-2</v>
      </c>
      <c r="V38" s="89">
        <v>1.9E-2</v>
      </c>
    </row>
    <row r="39" spans="1:22" ht="15.75" customHeight="1" x14ac:dyDescent="0.2"/>
    <row r="40" spans="1:22" ht="15.75" customHeight="1" x14ac:dyDescent="0.2">
      <c r="B40" s="19" t="s">
        <v>40</v>
      </c>
      <c r="C40" s="85"/>
      <c r="D40" s="85"/>
      <c r="E40" s="85"/>
      <c r="F40" s="85"/>
      <c r="G40" s="85"/>
      <c r="H40" s="85"/>
      <c r="I40" s="85"/>
      <c r="J40" s="85">
        <v>-1710</v>
      </c>
      <c r="K40" s="85">
        <v>-425</v>
      </c>
      <c r="L40" s="85">
        <v>-1720</v>
      </c>
      <c r="M40" s="71">
        <f t="shared" ref="M40:V40" si="18">M14*M41</f>
        <v>-1511.4827471755386</v>
      </c>
      <c r="N40" s="71">
        <f t="shared" si="18"/>
        <v>-1662.6310218930928</v>
      </c>
      <c r="O40" s="71">
        <f t="shared" si="18"/>
        <v>-1828.8941240824024</v>
      </c>
      <c r="P40" s="71">
        <f t="shared" si="18"/>
        <v>-2011.7835364906425</v>
      </c>
      <c r="Q40" s="71">
        <f t="shared" si="18"/>
        <v>-2212.9618901397071</v>
      </c>
      <c r="R40" s="71">
        <f t="shared" si="18"/>
        <v>-2434.258079153678</v>
      </c>
      <c r="S40" s="71">
        <f t="shared" si="18"/>
        <v>-2677.6838870690458</v>
      </c>
      <c r="T40" s="71">
        <f t="shared" si="18"/>
        <v>-2945.4522757759501</v>
      </c>
      <c r="U40" s="71">
        <f t="shared" si="18"/>
        <v>-3239.9975033535452</v>
      </c>
      <c r="V40" s="71">
        <f t="shared" si="18"/>
        <v>-3563.9972536889004</v>
      </c>
    </row>
    <row r="41" spans="1:22" ht="15.75" customHeight="1" x14ac:dyDescent="0.2">
      <c r="B41" s="83" t="s">
        <v>30</v>
      </c>
      <c r="C41" s="91"/>
      <c r="D41" s="91"/>
      <c r="E41" s="91"/>
      <c r="F41" s="91"/>
      <c r="G41" s="91"/>
      <c r="H41" s="91"/>
      <c r="I41" s="91"/>
      <c r="J41" s="92">
        <f>J40/J14</f>
        <v>-7.0576581782161871E-3</v>
      </c>
      <c r="K41" s="92">
        <f>K40/K14</f>
        <v>-1.6702495156276404E-3</v>
      </c>
      <c r="L41" s="92">
        <f>L40/L14</f>
        <v>-6.2492052246262281E-3</v>
      </c>
      <c r="M41" s="89">
        <f t="shared" ref="M41:V41" si="19">$E$11</f>
        <v>-4.9923709728233517E-3</v>
      </c>
      <c r="N41" s="89">
        <f t="shared" si="19"/>
        <v>-4.9923709728233517E-3</v>
      </c>
      <c r="O41" s="89">
        <f t="shared" si="19"/>
        <v>-4.9923709728233517E-3</v>
      </c>
      <c r="P41" s="89">
        <f t="shared" si="19"/>
        <v>-4.9923709728233517E-3</v>
      </c>
      <c r="Q41" s="89">
        <f t="shared" si="19"/>
        <v>-4.9923709728233517E-3</v>
      </c>
      <c r="R41" s="89">
        <f t="shared" si="19"/>
        <v>-4.9923709728233517E-3</v>
      </c>
      <c r="S41" s="89">
        <f t="shared" si="19"/>
        <v>-4.9923709728233517E-3</v>
      </c>
      <c r="T41" s="89">
        <f t="shared" si="19"/>
        <v>-4.9923709728233517E-3</v>
      </c>
      <c r="U41" s="89">
        <f t="shared" si="19"/>
        <v>-4.9923709728233517E-3</v>
      </c>
      <c r="V41" s="89">
        <f t="shared" si="19"/>
        <v>-4.9923709728233517E-3</v>
      </c>
    </row>
    <row r="42" spans="1:22" ht="15.75" customHeight="1" x14ac:dyDescent="0.2"/>
    <row r="43" spans="1:22" ht="15.75" customHeight="1" x14ac:dyDescent="0.2">
      <c r="B43" t="s">
        <v>41</v>
      </c>
      <c r="M43" s="93">
        <v>1</v>
      </c>
      <c r="N43" s="94">
        <v>2</v>
      </c>
      <c r="O43" s="95">
        <v>3</v>
      </c>
      <c r="P43" s="94">
        <v>4</v>
      </c>
      <c r="Q43" s="95">
        <v>5</v>
      </c>
      <c r="R43" s="94">
        <v>6</v>
      </c>
      <c r="S43" s="95">
        <v>7</v>
      </c>
      <c r="T43" s="94">
        <v>8</v>
      </c>
      <c r="U43" s="95">
        <v>9</v>
      </c>
      <c r="V43" s="94">
        <v>10</v>
      </c>
    </row>
    <row r="44" spans="1:22" ht="15.75" customHeight="1" x14ac:dyDescent="0.2">
      <c r="B44" s="96" t="s">
        <v>42</v>
      </c>
      <c r="J44" s="97"/>
      <c r="K44" s="97"/>
      <c r="L44" s="97"/>
      <c r="M44" s="80">
        <f t="shared" ref="M44:V44" si="20">(M20+M22)*(1-M30)+M34-M37-M40</f>
        <v>8228.9037428126776</v>
      </c>
      <c r="N44" s="80">
        <f t="shared" si="20"/>
        <v>9290.3198795939588</v>
      </c>
      <c r="O44" s="80">
        <f t="shared" si="20"/>
        <v>9302.2277063033471</v>
      </c>
      <c r="P44" s="80">
        <f t="shared" si="20"/>
        <v>10534.679149558709</v>
      </c>
      <c r="Q44" s="80">
        <f t="shared" si="20"/>
        <v>11920.598604402068</v>
      </c>
      <c r="R44" s="80">
        <f t="shared" si="20"/>
        <v>13478.355158718525</v>
      </c>
      <c r="S44" s="80">
        <f t="shared" si="20"/>
        <v>15228.457037854279</v>
      </c>
      <c r="T44" s="80">
        <f t="shared" si="20"/>
        <v>17193.795741229911</v>
      </c>
      <c r="U44" s="80">
        <f t="shared" si="20"/>
        <v>19399.917614902195</v>
      </c>
      <c r="V44" s="80">
        <f t="shared" si="20"/>
        <v>21875.325905896647</v>
      </c>
    </row>
    <row r="45" spans="1:22" ht="15.75" customHeight="1" x14ac:dyDescent="0.2">
      <c r="B45" s="69" t="s">
        <v>43</v>
      </c>
      <c r="M45" s="80">
        <f>M44/(1+$C$8)^1</f>
        <v>7594.1119268474949</v>
      </c>
      <c r="N45" s="80">
        <f>N44/(1+$C$8)^2</f>
        <v>7912.2625657773669</v>
      </c>
      <c r="O45" s="80">
        <f>O44/(1+$C$8)^3</f>
        <v>7311.2561703007486</v>
      </c>
      <c r="P45" s="80">
        <f>P44/(1+$C$8)^4</f>
        <v>7641.1963434156651</v>
      </c>
      <c r="Q45" s="80">
        <f>Q44/(1+$C$8)^5</f>
        <v>7979.4530213603011</v>
      </c>
      <c r="R45" s="80">
        <f>R44/(1+$C$8)^6</f>
        <v>8326.2024264034972</v>
      </c>
      <c r="S45" s="80">
        <f>S44/(1+$C$8)^7</f>
        <v>8681.6242109312934</v>
      </c>
      <c r="T45" s="80">
        <f>T44/(1+$C$8)^8</f>
        <v>9045.9015209234913</v>
      </c>
      <c r="U45" s="80">
        <f>U44/(1+$C$8)^9</f>
        <v>9419.2210605663877</v>
      </c>
      <c r="V45" s="80">
        <f>V44/(1+$C$8)^10</f>
        <v>9801.7731580208183</v>
      </c>
    </row>
    <row r="46" spans="1:22" ht="15.75" customHeight="1" x14ac:dyDescent="0.2">
      <c r="B46" s="98" t="s">
        <v>44</v>
      </c>
      <c r="R46" s="99">
        <f>V44*(1+C9)/(C8-C9)</f>
        <v>498060.72143717308</v>
      </c>
    </row>
    <row r="47" spans="1:22" ht="15.75" customHeight="1" x14ac:dyDescent="0.2">
      <c r="B47" s="19" t="s">
        <v>45</v>
      </c>
      <c r="R47" s="100">
        <f>R46/(1+C8)^10</f>
        <v>223168.25045022176</v>
      </c>
    </row>
    <row r="48" spans="1:22" ht="15.75" customHeight="1" x14ac:dyDescent="0.2">
      <c r="B48" s="19" t="s">
        <v>46</v>
      </c>
      <c r="R48" s="101">
        <f>R47+SUM(M45:V45)</f>
        <v>306881.25285476883</v>
      </c>
    </row>
    <row r="49" spans="2:19" ht="15.75" customHeight="1" x14ac:dyDescent="0.2">
      <c r="B49" s="102" t="s">
        <v>47</v>
      </c>
      <c r="R49" s="103">
        <v>18240</v>
      </c>
    </row>
    <row r="50" spans="2:19" ht="15.75" customHeight="1" x14ac:dyDescent="0.2">
      <c r="B50" s="102" t="s">
        <v>48</v>
      </c>
      <c r="R50" s="103">
        <v>8340</v>
      </c>
      <c r="S50" s="104"/>
    </row>
    <row r="51" spans="2:19" ht="15.75" customHeight="1" x14ac:dyDescent="0.2">
      <c r="B51" s="22" t="s">
        <v>49</v>
      </c>
      <c r="R51" s="100">
        <f>R48+R49-R50</f>
        <v>316781.25285476883</v>
      </c>
    </row>
    <row r="52" spans="2:19" ht="15.75" customHeight="1" x14ac:dyDescent="0.2">
      <c r="R52" s="105"/>
    </row>
    <row r="53" spans="2:19" ht="15.75" customHeight="1" x14ac:dyDescent="0.2">
      <c r="B53" t="s">
        <v>50</v>
      </c>
      <c r="R53" s="99">
        <f>R51/R54</f>
        <v>714.03415497524816</v>
      </c>
    </row>
    <row r="54" spans="2:19" ht="15.75" customHeight="1" x14ac:dyDescent="0.2">
      <c r="B54" t="s">
        <v>51</v>
      </c>
      <c r="R54" s="106">
        <v>443.65</v>
      </c>
    </row>
    <row r="55" spans="2:19" ht="15.75" customHeight="1" x14ac:dyDescent="0.2">
      <c r="M55" s="10"/>
      <c r="P55" s="107"/>
      <c r="Q55" s="107"/>
      <c r="R55" s="107"/>
    </row>
    <row r="56" spans="2:19" ht="15.75" customHeight="1" x14ac:dyDescent="0.2">
      <c r="M56" s="10"/>
      <c r="P56" s="108"/>
      <c r="Q56" s="108"/>
      <c r="R56" s="108"/>
    </row>
    <row r="57" spans="2:19" ht="15.75" customHeight="1" x14ac:dyDescent="0.2">
      <c r="B57" s="109"/>
      <c r="C57" s="66"/>
      <c r="D57" s="66"/>
      <c r="E57" s="66"/>
      <c r="F57" s="66"/>
      <c r="G57" s="66"/>
      <c r="H57" s="66"/>
      <c r="I57" s="34"/>
      <c r="J57" s="34"/>
      <c r="K57" s="34"/>
      <c r="L57" s="34"/>
      <c r="M57" s="110"/>
      <c r="N57" s="110"/>
      <c r="O57" s="110"/>
      <c r="P57" s="111"/>
      <c r="Q57" s="111"/>
      <c r="R57" s="111"/>
    </row>
    <row r="58" spans="2:19" ht="15.75" customHeight="1" x14ac:dyDescent="0.2">
      <c r="B58" s="2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97"/>
      <c r="N58" s="97"/>
      <c r="O58" s="97"/>
      <c r="P58" s="113"/>
      <c r="Q58" s="113"/>
      <c r="R58" s="113"/>
    </row>
    <row r="59" spans="2:19" ht="15.75" customHeight="1" x14ac:dyDescent="0.2">
      <c r="B59" s="83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114"/>
      <c r="N59" s="108"/>
      <c r="O59" s="108"/>
      <c r="P59" s="115"/>
      <c r="Q59" s="115"/>
      <c r="R59" s="115"/>
    </row>
    <row r="60" spans="2:19" ht="15.75" customHeight="1" x14ac:dyDescent="0.2">
      <c r="B60" s="33"/>
      <c r="D60" s="116"/>
      <c r="E60" s="116"/>
      <c r="F60" s="116"/>
      <c r="G60" s="116"/>
      <c r="H60" s="116"/>
      <c r="I60" s="116"/>
      <c r="J60" s="116"/>
      <c r="K60" s="116"/>
      <c r="L60" s="116"/>
      <c r="M60" s="117"/>
      <c r="N60" s="111"/>
      <c r="O60" s="111"/>
    </row>
    <row r="61" spans="2:19" ht="15.75" customHeight="1" x14ac:dyDescent="0.2">
      <c r="B61" s="33"/>
      <c r="D61" s="116"/>
      <c r="E61" s="116"/>
      <c r="F61" s="116"/>
      <c r="G61" s="116"/>
      <c r="H61" s="116"/>
      <c r="I61" s="116"/>
      <c r="J61" s="116"/>
      <c r="K61" s="116"/>
      <c r="L61" s="116"/>
      <c r="M61" s="118"/>
      <c r="N61" s="113"/>
      <c r="O61" s="113"/>
    </row>
    <row r="62" spans="2:19" ht="15.75" customHeight="1" x14ac:dyDescent="0.2">
      <c r="B62" s="33"/>
      <c r="D62" s="116"/>
      <c r="E62" s="116"/>
      <c r="F62" s="116"/>
      <c r="G62" s="116"/>
      <c r="H62" s="116"/>
      <c r="I62" s="116"/>
      <c r="J62" s="116"/>
      <c r="K62" s="116"/>
      <c r="L62" s="116"/>
      <c r="M62" s="117"/>
      <c r="N62" s="115"/>
      <c r="O62" s="115"/>
      <c r="P62" s="107"/>
      <c r="Q62" s="107"/>
      <c r="R62" s="107"/>
    </row>
    <row r="63" spans="2:19" ht="15.75" customHeight="1" x14ac:dyDescent="0.2">
      <c r="M63" s="10"/>
    </row>
    <row r="64" spans="2:19" ht="15.75" customHeight="1" x14ac:dyDescent="0.2"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97"/>
      <c r="N64" s="107"/>
      <c r="O64" s="107"/>
      <c r="P64" s="107"/>
      <c r="Q64" s="107"/>
      <c r="R64" s="107"/>
    </row>
    <row r="65" spans="2:18" ht="15.75" customHeight="1" x14ac:dyDescent="0.2">
      <c r="B65" s="83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66"/>
      <c r="N65" s="66"/>
      <c r="O65" s="66"/>
      <c r="P65" s="87"/>
      <c r="Q65" s="87"/>
      <c r="R65" s="87"/>
    </row>
    <row r="66" spans="2:18" ht="15.75" customHeight="1" x14ac:dyDescent="0.2">
      <c r="M66" s="10"/>
    </row>
    <row r="67" spans="2:18" ht="15.75" customHeight="1" x14ac:dyDescent="0.2"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97"/>
      <c r="N67" s="107"/>
      <c r="O67" s="107"/>
      <c r="P67" s="107"/>
      <c r="Q67" s="107"/>
      <c r="R67" s="107"/>
    </row>
    <row r="68" spans="2:18" ht="15.75" customHeight="1" x14ac:dyDescent="0.2">
      <c r="B68" s="83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66"/>
      <c r="N68" s="66"/>
      <c r="O68" s="66"/>
      <c r="P68" s="87"/>
      <c r="Q68" s="87"/>
      <c r="R68" s="87"/>
    </row>
    <row r="69" spans="2:18" ht="15.75" customHeight="1" x14ac:dyDescent="0.2">
      <c r="M69" s="10"/>
    </row>
    <row r="70" spans="2:18" ht="15.75" customHeight="1" x14ac:dyDescent="0.2"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97"/>
      <c r="N70" s="107"/>
      <c r="O70" s="107"/>
      <c r="P70" s="107"/>
      <c r="Q70" s="107"/>
      <c r="R70" s="107"/>
    </row>
    <row r="71" spans="2:18" ht="15.75" customHeight="1" x14ac:dyDescent="0.2">
      <c r="B71" s="83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66"/>
      <c r="N71" s="66"/>
      <c r="O71" s="66"/>
      <c r="P71" s="91"/>
      <c r="Q71" s="91"/>
      <c r="R71" s="91"/>
    </row>
    <row r="72" spans="2:18" ht="15.75" customHeight="1" x14ac:dyDescent="0.2">
      <c r="M72" s="10"/>
    </row>
    <row r="73" spans="2:18" ht="15.75" customHeight="1" x14ac:dyDescent="0.2">
      <c r="M73" s="97"/>
      <c r="N73" s="107"/>
      <c r="O73" s="107"/>
      <c r="P73" s="107"/>
      <c r="Q73" s="107"/>
      <c r="R73" s="107"/>
    </row>
    <row r="74" spans="2:18" ht="15.75" customHeight="1" x14ac:dyDescent="0.2"/>
    <row r="75" spans="2:18" ht="15.75" customHeight="1" x14ac:dyDescent="0.2"/>
    <row r="76" spans="2:18" ht="15.75" customHeight="1" x14ac:dyDescent="0.2"/>
    <row r="77" spans="2:18" ht="15.75" customHeight="1" x14ac:dyDescent="0.2"/>
    <row r="78" spans="2:18" ht="15.75" customHeight="1" x14ac:dyDescent="0.2"/>
    <row r="79" spans="2:18" ht="15.75" customHeight="1" x14ac:dyDescent="0.2"/>
    <row r="80" spans="2:18" ht="15.75" customHeight="1" x14ac:dyDescent="0.2"/>
    <row r="88" ht="15.75" customHeight="1" x14ac:dyDescent="0.2"/>
    <row r="89" ht="15.75" customHeight="1" x14ac:dyDescent="0.2"/>
  </sheetData>
  <mergeCells count="2">
    <mergeCell ref="W6:AC7"/>
    <mergeCell ref="D8:E8"/>
  </mergeCells>
  <conditionalFormatting sqref="O5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2E5597"/>
  </sheetPr>
  <dimension ref="B1:D27"/>
  <sheetViews>
    <sheetView zoomScale="125" zoomScaleNormal="125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25" sqref="B25:C25"/>
    </sheetView>
  </sheetViews>
  <sheetFormatPr baseColWidth="10" defaultColWidth="8.6640625" defaultRowHeight="16" x14ac:dyDescent="0.2"/>
  <cols>
    <col min="1" max="1" width="2" customWidth="1"/>
    <col min="2" max="2" width="42" customWidth="1"/>
    <col min="3" max="3" width="16" customWidth="1"/>
    <col min="4" max="4" width="30" customWidth="1"/>
    <col min="5" max="5" width="2" customWidth="1"/>
  </cols>
  <sheetData>
    <row r="1" spans="2:4" ht="24" customHeight="1" x14ac:dyDescent="0.2">
      <c r="B1" s="6" t="s">
        <v>52</v>
      </c>
      <c r="C1" s="6"/>
      <c r="D1" s="6"/>
    </row>
    <row r="2" spans="2:4" ht="15.75" customHeight="1" x14ac:dyDescent="0.2">
      <c r="B2" s="5" t="s">
        <v>53</v>
      </c>
      <c r="C2" s="5"/>
      <c r="D2" s="5"/>
    </row>
    <row r="3" spans="2:4" ht="6" customHeight="1" x14ac:dyDescent="0.2"/>
    <row r="4" spans="2:4" ht="18" customHeight="1" x14ac:dyDescent="0.2">
      <c r="B4" s="4" t="s">
        <v>54</v>
      </c>
      <c r="C4" s="4"/>
      <c r="D4" s="4"/>
    </row>
    <row r="5" spans="2:4" ht="16.5" customHeight="1" x14ac:dyDescent="0.2">
      <c r="B5" s="119" t="s">
        <v>55</v>
      </c>
      <c r="C5" s="120">
        <v>3.5000000000000003E-2</v>
      </c>
      <c r="D5" s="121" t="s">
        <v>56</v>
      </c>
    </row>
    <row r="6" spans="2:4" ht="16.5" customHeight="1" x14ac:dyDescent="0.2">
      <c r="B6" s="122" t="s">
        <v>57</v>
      </c>
      <c r="C6" s="123">
        <v>0.05</v>
      </c>
      <c r="D6" s="124" t="s">
        <v>58</v>
      </c>
    </row>
    <row r="7" spans="2:4" ht="16.5" customHeight="1" x14ac:dyDescent="0.2">
      <c r="B7" s="119" t="s">
        <v>59</v>
      </c>
      <c r="C7" s="125">
        <v>0.99</v>
      </c>
      <c r="D7" s="121" t="s">
        <v>60</v>
      </c>
    </row>
    <row r="8" spans="2:4" ht="16.5" customHeight="1" x14ac:dyDescent="0.2">
      <c r="B8" s="126" t="s">
        <v>61</v>
      </c>
      <c r="C8" s="127">
        <v>8.4500000000000006E-2</v>
      </c>
      <c r="D8" s="128"/>
    </row>
    <row r="9" spans="2:4" ht="6" customHeight="1" x14ac:dyDescent="0.2"/>
    <row r="10" spans="2:4" ht="18" customHeight="1" x14ac:dyDescent="0.2">
      <c r="B10" s="4" t="s">
        <v>62</v>
      </c>
      <c r="C10" s="4"/>
      <c r="D10" s="4"/>
    </row>
    <row r="11" spans="2:4" ht="16.5" customHeight="1" x14ac:dyDescent="0.2">
      <c r="B11" s="119" t="s">
        <v>63</v>
      </c>
      <c r="C11" s="129">
        <v>8340</v>
      </c>
      <c r="D11" s="121" t="s">
        <v>64</v>
      </c>
    </row>
    <row r="12" spans="2:4" ht="16.5" customHeight="1" x14ac:dyDescent="0.2">
      <c r="B12" s="122" t="s">
        <v>65</v>
      </c>
      <c r="C12" s="130">
        <v>154</v>
      </c>
      <c r="D12" s="124" t="s">
        <v>64</v>
      </c>
    </row>
    <row r="13" spans="2:4" ht="16.5" customHeight="1" x14ac:dyDescent="0.2">
      <c r="B13" s="119" t="s">
        <v>66</v>
      </c>
      <c r="C13" s="131">
        <v>4.9000000000000002E-2</v>
      </c>
      <c r="D13" s="132"/>
    </row>
    <row r="14" spans="2:4" ht="16.5" customHeight="1" x14ac:dyDescent="0.2">
      <c r="B14" s="122" t="s">
        <v>37</v>
      </c>
      <c r="C14" s="123">
        <v>0.25</v>
      </c>
      <c r="D14" s="124" t="s">
        <v>67</v>
      </c>
    </row>
    <row r="15" spans="2:4" ht="16.5" customHeight="1" x14ac:dyDescent="0.2">
      <c r="B15" s="126" t="s">
        <v>68</v>
      </c>
      <c r="C15" s="127">
        <v>3.6749999999999998E-2</v>
      </c>
      <c r="D15" s="128"/>
    </row>
    <row r="16" spans="2:4" ht="6" customHeight="1" x14ac:dyDescent="0.2"/>
    <row r="17" spans="2:4" ht="18" customHeight="1" x14ac:dyDescent="0.2">
      <c r="B17" s="4" t="s">
        <v>69</v>
      </c>
      <c r="C17" s="4"/>
      <c r="D17" s="4"/>
    </row>
    <row r="18" spans="2:4" ht="16.5" customHeight="1" x14ac:dyDescent="0.2">
      <c r="B18" s="122" t="s">
        <v>70</v>
      </c>
      <c r="C18" s="130">
        <v>428122</v>
      </c>
      <c r="D18" s="124" t="s">
        <v>71</v>
      </c>
    </row>
    <row r="19" spans="2:4" ht="16.5" customHeight="1" x14ac:dyDescent="0.2">
      <c r="B19" s="119" t="s">
        <v>72</v>
      </c>
      <c r="C19" s="129">
        <v>8340</v>
      </c>
      <c r="D19" s="132"/>
    </row>
    <row r="20" spans="2:4" ht="16.5" customHeight="1" x14ac:dyDescent="0.2">
      <c r="B20" s="122" t="s">
        <v>73</v>
      </c>
      <c r="C20" s="133">
        <v>436462</v>
      </c>
      <c r="D20" s="134"/>
    </row>
    <row r="21" spans="2:4" ht="16.5" customHeight="1" x14ac:dyDescent="0.2">
      <c r="B21" s="119" t="s">
        <v>74</v>
      </c>
      <c r="C21" s="131">
        <v>0.98089000000000004</v>
      </c>
      <c r="D21" s="132"/>
    </row>
    <row r="22" spans="2:4" ht="16.5" customHeight="1" x14ac:dyDescent="0.2">
      <c r="B22" s="122" t="s">
        <v>75</v>
      </c>
      <c r="C22" s="135">
        <v>1.9109999999999999E-2</v>
      </c>
      <c r="D22" s="134"/>
    </row>
    <row r="23" spans="2:4" ht="6" customHeight="1" x14ac:dyDescent="0.2"/>
    <row r="24" spans="2:4" ht="18" customHeight="1" x14ac:dyDescent="0.2">
      <c r="B24" s="4" t="s">
        <v>76</v>
      </c>
      <c r="C24" s="4"/>
      <c r="D24" s="4"/>
    </row>
    <row r="25" spans="2:4" ht="21.75" customHeight="1" x14ac:dyDescent="0.2">
      <c r="B25" s="3">
        <v>8.3589999999999998E-2</v>
      </c>
      <c r="C25" s="3"/>
      <c r="D25" s="136" t="s">
        <v>77</v>
      </c>
    </row>
    <row r="27" spans="2:4" ht="9.75" customHeight="1" x14ac:dyDescent="0.2">
      <c r="B27" s="2" t="s">
        <v>78</v>
      </c>
      <c r="C27" s="2"/>
      <c r="D27" s="2"/>
    </row>
  </sheetData>
  <mergeCells count="8">
    <mergeCell ref="B24:D24"/>
    <mergeCell ref="B25:C25"/>
    <mergeCell ref="B27:D27"/>
    <mergeCell ref="B1:D1"/>
    <mergeCell ref="B2:D2"/>
    <mergeCell ref="B4:D4"/>
    <mergeCell ref="B10:D10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375623"/>
  </sheetPr>
  <dimension ref="B1:D2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0" sqref="C20"/>
    </sheetView>
  </sheetViews>
  <sheetFormatPr baseColWidth="10" defaultColWidth="8.6640625" defaultRowHeight="16" x14ac:dyDescent="0.2"/>
  <cols>
    <col min="1" max="1" width="2" customWidth="1"/>
    <col min="2" max="2" width="38" customWidth="1"/>
    <col min="3" max="3" width="18" customWidth="1"/>
    <col min="4" max="4" width="24" customWidth="1"/>
  </cols>
  <sheetData>
    <row r="1" spans="2:4" ht="24" customHeight="1" x14ac:dyDescent="0.2">
      <c r="B1" s="6" t="s">
        <v>79</v>
      </c>
      <c r="C1" s="6"/>
      <c r="D1" s="6"/>
    </row>
    <row r="2" spans="2:4" ht="15.75" customHeight="1" x14ac:dyDescent="0.2">
      <c r="B2" s="5" t="s">
        <v>80</v>
      </c>
      <c r="C2" s="5"/>
      <c r="D2" s="5"/>
    </row>
    <row r="3" spans="2:4" ht="6" customHeight="1" x14ac:dyDescent="0.2"/>
    <row r="4" spans="2:4" ht="18" customHeight="1" x14ac:dyDescent="0.2">
      <c r="B4" s="4" t="s">
        <v>81</v>
      </c>
      <c r="C4" s="4"/>
      <c r="D4" s="4"/>
    </row>
    <row r="5" spans="2:4" ht="18" customHeight="1" x14ac:dyDescent="0.2">
      <c r="B5" s="119" t="s">
        <v>82</v>
      </c>
      <c r="C5" s="137">
        <v>83714</v>
      </c>
      <c r="D5" s="132"/>
    </row>
    <row r="6" spans="2:4" ht="18" customHeight="1" x14ac:dyDescent="0.2">
      <c r="B6" s="122" t="s">
        <v>45</v>
      </c>
      <c r="C6" s="138">
        <v>223185</v>
      </c>
      <c r="D6" s="134"/>
    </row>
    <row r="7" spans="2:4" ht="18" customHeight="1" x14ac:dyDescent="0.2">
      <c r="B7" s="126" t="s">
        <v>46</v>
      </c>
      <c r="C7" s="139">
        <v>306899</v>
      </c>
      <c r="D7" s="128"/>
    </row>
    <row r="8" spans="2:4" ht="6" customHeight="1" x14ac:dyDescent="0.2"/>
    <row r="9" spans="2:4" ht="18" customHeight="1" x14ac:dyDescent="0.2">
      <c r="B9" s="4" t="s">
        <v>83</v>
      </c>
      <c r="C9" s="4"/>
      <c r="D9" s="4"/>
    </row>
    <row r="10" spans="2:4" ht="18" customHeight="1" x14ac:dyDescent="0.2">
      <c r="B10" s="122" t="s">
        <v>84</v>
      </c>
      <c r="C10" s="138">
        <v>18240</v>
      </c>
      <c r="D10" s="134"/>
    </row>
    <row r="11" spans="2:4" ht="18" customHeight="1" x14ac:dyDescent="0.2">
      <c r="B11" s="119" t="s">
        <v>85</v>
      </c>
      <c r="C11" s="137">
        <v>-8340</v>
      </c>
      <c r="D11" s="132"/>
    </row>
    <row r="12" spans="2:4" ht="18" customHeight="1" x14ac:dyDescent="0.2">
      <c r="B12" s="122" t="s">
        <v>86</v>
      </c>
      <c r="C12" s="138">
        <v>0</v>
      </c>
      <c r="D12" s="134"/>
    </row>
    <row r="13" spans="2:4" ht="18" customHeight="1" x14ac:dyDescent="0.2">
      <c r="B13" s="119" t="s">
        <v>87</v>
      </c>
      <c r="C13" s="137">
        <v>0</v>
      </c>
      <c r="D13" s="132"/>
    </row>
    <row r="14" spans="2:4" ht="18" customHeight="1" x14ac:dyDescent="0.2">
      <c r="B14" s="126" t="s">
        <v>49</v>
      </c>
      <c r="C14" s="139">
        <v>316799</v>
      </c>
      <c r="D14" s="128"/>
    </row>
    <row r="15" spans="2:4" ht="6" customHeight="1" x14ac:dyDescent="0.2"/>
    <row r="16" spans="2:4" ht="18" customHeight="1" x14ac:dyDescent="0.2">
      <c r="B16" s="4" t="s">
        <v>88</v>
      </c>
      <c r="C16" s="4"/>
      <c r="D16" s="4"/>
    </row>
    <row r="17" spans="2:4" ht="18" customHeight="1" x14ac:dyDescent="0.2">
      <c r="B17" s="119" t="s">
        <v>89</v>
      </c>
      <c r="C17" s="140">
        <v>443.65</v>
      </c>
      <c r="D17" s="132"/>
    </row>
    <row r="18" spans="2:4" ht="18" customHeight="1" x14ac:dyDescent="0.2">
      <c r="B18" s="126" t="s">
        <v>5</v>
      </c>
      <c r="C18" s="141">
        <v>714.07</v>
      </c>
      <c r="D18" s="128"/>
    </row>
    <row r="19" spans="2:4" ht="18" customHeight="1" x14ac:dyDescent="0.2">
      <c r="B19" s="119" t="s">
        <v>90</v>
      </c>
      <c r="C19" s="142">
        <v>965</v>
      </c>
      <c r="D19" s="132"/>
    </row>
    <row r="20" spans="2:4" ht="18" customHeight="1" x14ac:dyDescent="0.2">
      <c r="B20" s="143" t="s">
        <v>91</v>
      </c>
      <c r="C20" s="144">
        <v>-0.26</v>
      </c>
      <c r="D20" s="145"/>
    </row>
    <row r="21" spans="2:4" ht="6" customHeight="1" x14ac:dyDescent="0.2"/>
    <row r="22" spans="2:4" ht="18" customHeight="1" x14ac:dyDescent="0.2">
      <c r="B22" s="4" t="s">
        <v>92</v>
      </c>
      <c r="C22" s="4"/>
      <c r="D22" s="4"/>
    </row>
    <row r="23" spans="2:4" ht="18" customHeight="1" x14ac:dyDescent="0.2">
      <c r="B23" s="119" t="s">
        <v>93</v>
      </c>
      <c r="C23" s="142">
        <v>571.26</v>
      </c>
      <c r="D23" s="132"/>
    </row>
    <row r="24" spans="2:4" ht="18" customHeight="1" x14ac:dyDescent="0.2">
      <c r="B24" s="146" t="s">
        <v>94</v>
      </c>
      <c r="C24" s="126" t="s">
        <v>95</v>
      </c>
      <c r="D24" s="128"/>
    </row>
    <row r="26" spans="2:4" ht="9.75" customHeight="1" x14ac:dyDescent="0.2">
      <c r="B26" s="2" t="s">
        <v>96</v>
      </c>
      <c r="C26" s="2"/>
      <c r="D26" s="2"/>
    </row>
  </sheetData>
  <mergeCells count="7">
    <mergeCell ref="B22:D22"/>
    <mergeCell ref="B26:D26"/>
    <mergeCell ref="B1:D1"/>
    <mergeCell ref="B2:D2"/>
    <mergeCell ref="B4:D4"/>
    <mergeCell ref="B9:D9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55A11"/>
  </sheetPr>
  <dimension ref="B1:J11"/>
  <sheetViews>
    <sheetView zoomScale="14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baseColWidth="10" defaultColWidth="8.6640625" defaultRowHeight="16" x14ac:dyDescent="0.2"/>
  <cols>
    <col min="1" max="1" width="2" customWidth="1"/>
    <col min="2" max="2" width="18" customWidth="1"/>
    <col min="3" max="9" width="13" customWidth="1"/>
  </cols>
  <sheetData>
    <row r="1" spans="2:10" ht="24" customHeight="1" x14ac:dyDescent="0.2">
      <c r="B1" s="6" t="s">
        <v>97</v>
      </c>
      <c r="C1" s="6"/>
      <c r="D1" s="6"/>
      <c r="E1" s="6"/>
      <c r="F1" s="6"/>
      <c r="G1" s="6"/>
      <c r="H1" s="6"/>
      <c r="I1" s="6"/>
      <c r="J1" s="6"/>
    </row>
    <row r="2" spans="2:10" ht="15.75" customHeight="1" x14ac:dyDescent="0.2">
      <c r="B2" s="1" t="s">
        <v>98</v>
      </c>
      <c r="C2" s="1"/>
      <c r="D2" s="1"/>
      <c r="E2" s="1"/>
      <c r="F2" s="1"/>
      <c r="G2" s="1"/>
      <c r="H2" s="1"/>
      <c r="I2" s="1"/>
      <c r="J2" s="1"/>
    </row>
    <row r="3" spans="2:10" ht="6" customHeight="1" x14ac:dyDescent="0.2"/>
    <row r="4" spans="2:10" ht="19.5" customHeight="1" x14ac:dyDescent="0.2">
      <c r="B4" s="147" t="s">
        <v>99</v>
      </c>
      <c r="C4" s="148">
        <v>5.8000000000000003E-2</v>
      </c>
      <c r="D4" s="148">
        <v>6.8000000000000005E-2</v>
      </c>
      <c r="E4" s="148">
        <v>7.8E-2</v>
      </c>
      <c r="F4" s="148">
        <v>8.7999999999999995E-2</v>
      </c>
      <c r="G4" s="148">
        <v>9.8000000000000004E-2</v>
      </c>
      <c r="H4" s="148">
        <v>0.108</v>
      </c>
      <c r="I4" s="148">
        <v>0.11799999999999999</v>
      </c>
    </row>
    <row r="5" spans="2:10" ht="19.5" customHeight="1" x14ac:dyDescent="0.2">
      <c r="B5" s="148">
        <v>1.7999999999999999E-2</v>
      </c>
      <c r="C5" s="149">
        <v>1041.71232198749</v>
      </c>
      <c r="D5" s="150">
        <v>815.36045077624601</v>
      </c>
      <c r="E5" s="151">
        <v>665.74035693870405</v>
      </c>
      <c r="F5" s="151">
        <v>559.87716838547306</v>
      </c>
      <c r="G5" s="151">
        <v>481.29075018431502</v>
      </c>
      <c r="H5" s="151">
        <v>420.83129456710998</v>
      </c>
      <c r="I5" s="151">
        <v>373.01362415569798</v>
      </c>
    </row>
    <row r="6" spans="2:10" ht="19.5" customHeight="1" x14ac:dyDescent="0.2">
      <c r="B6" s="148">
        <v>2.8000000000000001E-2</v>
      </c>
      <c r="C6" s="149">
        <v>1313.8064792821699</v>
      </c>
      <c r="D6" s="149">
        <v>965.36353947896498</v>
      </c>
      <c r="E6" s="150">
        <v>757.696631686361</v>
      </c>
      <c r="F6" s="151">
        <v>620.32241069731003</v>
      </c>
      <c r="G6" s="151">
        <v>523.04131772989399</v>
      </c>
      <c r="H6" s="151">
        <v>450.75953137765703</v>
      </c>
      <c r="I6" s="151">
        <v>395.09635251351699</v>
      </c>
    </row>
    <row r="7" spans="2:10" ht="19.5" customHeight="1" x14ac:dyDescent="0.2">
      <c r="B7" s="148">
        <v>3.7999999999999999E-2</v>
      </c>
      <c r="C7" s="149">
        <v>1857.99479387154</v>
      </c>
      <c r="D7" s="149">
        <v>1215.3686873168299</v>
      </c>
      <c r="E7" s="150">
        <v>895.63104380784603</v>
      </c>
      <c r="F7" s="152">
        <v>704.94574993388198</v>
      </c>
      <c r="G7" s="151">
        <v>578.70874112399804</v>
      </c>
      <c r="H7" s="151">
        <v>489.23869299121702</v>
      </c>
      <c r="I7" s="151">
        <v>422.69976296079</v>
      </c>
    </row>
    <row r="8" spans="2:10" ht="19.5" customHeight="1" x14ac:dyDescent="0.2">
      <c r="B8" s="148">
        <v>4.8000000000000001E-2</v>
      </c>
      <c r="C8" s="149">
        <v>3490.5597376396499</v>
      </c>
      <c r="D8" s="149">
        <v>1715.3789829925599</v>
      </c>
      <c r="E8" s="149">
        <v>1125.52173067699</v>
      </c>
      <c r="F8" s="150">
        <v>831.88075878873894</v>
      </c>
      <c r="G8" s="151">
        <v>656.64313387574396</v>
      </c>
      <c r="H8" s="151">
        <v>540.54424180929698</v>
      </c>
      <c r="I8" s="151">
        <v>458.18986210728298</v>
      </c>
    </row>
    <row r="9" spans="2:10" ht="19.5" customHeight="1" x14ac:dyDescent="0.2">
      <c r="B9" s="148">
        <v>5.8000000000000003E-2</v>
      </c>
      <c r="C9" s="153" t="s">
        <v>100</v>
      </c>
      <c r="D9" s="149">
        <v>3215.4098700197501</v>
      </c>
      <c r="E9" s="149">
        <v>1585.3031044152699</v>
      </c>
      <c r="F9" s="149">
        <v>1043.4391068801699</v>
      </c>
      <c r="G9" s="150">
        <v>773.54472300336397</v>
      </c>
      <c r="H9" s="151">
        <v>612.37201015460903</v>
      </c>
      <c r="I9" s="151">
        <v>505.50999430260799</v>
      </c>
    </row>
    <row r="11" spans="2:10" ht="9.75" customHeight="1" x14ac:dyDescent="0.2">
      <c r="B11" s="2" t="s">
        <v>101</v>
      </c>
      <c r="C11" s="2"/>
      <c r="D11" s="2"/>
      <c r="E11" s="2"/>
      <c r="F11" s="2"/>
      <c r="G11" s="2"/>
      <c r="H11" s="2"/>
      <c r="I11" s="2"/>
      <c r="J11" s="2"/>
    </row>
  </sheetData>
  <mergeCells count="3">
    <mergeCell ref="B1:J1"/>
    <mergeCell ref="B2:J2"/>
    <mergeCell ref="B11:J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— Integrated Financials</vt:lpstr>
      <vt:lpstr>WACC</vt:lpstr>
      <vt:lpstr>Equity Bridge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Ruben Dupont</cp:lastModifiedBy>
  <cp:revision>0</cp:revision>
  <dcterms:created xsi:type="dcterms:W3CDTF">2023-04-30T12:57:52Z</dcterms:created>
  <dcterms:modified xsi:type="dcterms:W3CDTF">2026-03-28T15:36:54Z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0x010100F354DEA7862AF843ABB49DF8530F3BB3</vt:lpwstr>
  </property>
</Properties>
</file>